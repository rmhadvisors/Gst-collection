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LIENT DATA SCAN\Vasai Client\SPACE HOME\GST\25-26\"/>
    </mc:Choice>
  </mc:AlternateContent>
  <xr:revisionPtr revIDLastSave="0" documentId="13_ncr:1_{732E55E0-0E60-4B26-9746-EA989B1D9BC9}" xr6:coauthVersionLast="47" xr6:coauthVersionMax="47" xr10:uidLastSave="{00000000-0000-0000-0000-000000000000}"/>
  <bookViews>
    <workbookView xWindow="-120" yWindow="-120" windowWidth="20730" windowHeight="11160" tabRatio="908" firstSheet="2" activeTab="5" xr2:uid="{00000000-000D-0000-FFFF-FFFF00000000}"/>
  </bookViews>
  <sheets>
    <sheet name="oct17old" sheetId="3" state="hidden" r:id="rId1"/>
    <sheet name="oct old2 " sheetId="4" state="hidden" r:id="rId2"/>
    <sheet name="APR-25" sheetId="92" r:id="rId3"/>
    <sheet name="APR-25 WORKING" sheetId="93" r:id="rId4"/>
    <sheet name="MAY-25" sheetId="95" r:id="rId5"/>
    <sheet name="MAY-25 WORKING" sheetId="96" r:id="rId6"/>
    <sheet name="Sheet1" sheetId="94" r:id="rId7"/>
    <sheet name="JUne-25" sheetId="99" r:id="rId8"/>
    <sheet name="JUNe Working" sheetId="98" r:id="rId9"/>
    <sheet name="July-25" sheetId="100" r:id="rId10"/>
    <sheet name="July Working" sheetId="103" r:id="rId11"/>
    <sheet name="AUG 25" sheetId="102" r:id="rId12"/>
    <sheet name="Aug Working" sheetId="101" r:id="rId13"/>
    <sheet name="Sept 25" sheetId="104" r:id="rId14"/>
    <sheet name="Sept Working" sheetId="105" r:id="rId15"/>
    <sheet name="Oct 25" sheetId="106" r:id="rId16"/>
    <sheet name="Oct Working" sheetId="107" r:id="rId17"/>
    <sheet name="NOV 25" sheetId="108" r:id="rId18"/>
    <sheet name="NOV working" sheetId="109" r:id="rId19"/>
    <sheet name="DEC 25" sheetId="110" r:id="rId20"/>
    <sheet name="DEC working" sheetId="111" r:id="rId21"/>
    <sheet name="JAN 26" sheetId="112" r:id="rId22"/>
    <sheet name="JAN.26" sheetId="113" r:id="rId23"/>
    <sheet name="FEB 26" sheetId="115" r:id="rId24"/>
    <sheet name="FEB.26" sheetId="114" r:id="rId25"/>
    <sheet name="March 26" sheetId="116" r:id="rId26"/>
    <sheet name="MAR.26" sheetId="117" r:id="rId27"/>
  </sheets>
  <definedNames>
    <definedName name="_xlnm._FilterDatabase" localSheetId="5" hidden="1">'MAY-25 WORKING'!$A$3:$I$6</definedName>
    <definedName name="_xlnm.Print_Area" localSheetId="2">'APR-25'!$A$1:$O$37</definedName>
    <definedName name="_xlnm.Print_Area" localSheetId="3">'APR-25 WORKING'!$A$1:$I$18</definedName>
    <definedName name="_xlnm.Print_Area" localSheetId="11">'AUG 25'!$A$1:$O$37</definedName>
    <definedName name="_xlnm.Print_Area" localSheetId="19">'DEC 25'!$A$1:$O$37</definedName>
    <definedName name="_xlnm.Print_Area" localSheetId="23">'FEB 26'!$A$1:$O$37</definedName>
    <definedName name="_xlnm.Print_Area" localSheetId="21">'JAN 26'!$A$1:$O$37</definedName>
    <definedName name="_xlnm.Print_Area" localSheetId="9">'July-25'!$A$1:$O$37</definedName>
    <definedName name="_xlnm.Print_Area" localSheetId="7">'JUne-25'!$A$1:$O$37</definedName>
    <definedName name="_xlnm.Print_Area" localSheetId="25">'March 26'!$A$1:$O$37</definedName>
    <definedName name="_xlnm.Print_Area" localSheetId="4">'MAY-25'!$A$1:$O$37</definedName>
    <definedName name="_xlnm.Print_Area" localSheetId="5">'MAY-25 WORKING'!$A$1:$I$18</definedName>
    <definedName name="_xlnm.Print_Area" localSheetId="17">'NOV 25'!$A$1:$O$37</definedName>
    <definedName name="_xlnm.Print_Area" localSheetId="15">'Oct 25'!$A$1:$O$37</definedName>
    <definedName name="_xlnm.Print_Area" localSheetId="1">'oct old2 '!$A$1:$O$37</definedName>
    <definedName name="_xlnm.Print_Area" localSheetId="0">oct17old!$A$1:$O$37</definedName>
    <definedName name="_xlnm.Print_Area" localSheetId="13">'Sept 25'!$A$1:$O$37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96" l="1"/>
  <c r="E4" i="99" l="1"/>
  <c r="B4" i="99" l="1"/>
  <c r="I5" i="98"/>
  <c r="E5" i="98"/>
  <c r="B5" i="116" l="1"/>
  <c r="B4" i="116"/>
  <c r="F16" i="117"/>
  <c r="E13" i="117"/>
  <c r="E16" i="117" s="1"/>
  <c r="H6" i="117"/>
  <c r="F6" i="117"/>
  <c r="I6" i="117" s="1"/>
  <c r="E5" i="117"/>
  <c r="I5" i="117" s="1"/>
  <c r="H4" i="117"/>
  <c r="I4" i="117" s="1"/>
  <c r="E4" i="117"/>
  <c r="I7" i="117" l="1"/>
  <c r="H16" i="117" s="1"/>
  <c r="J36" i="116" l="1"/>
  <c r="J35" i="116"/>
  <c r="B34" i="116"/>
  <c r="H29" i="116"/>
  <c r="E27" i="116"/>
  <c r="B27" i="116"/>
  <c r="K26" i="116"/>
  <c r="J26" i="116"/>
  <c r="H26" i="116"/>
  <c r="G26" i="116"/>
  <c r="K23" i="116"/>
  <c r="E23" i="116"/>
  <c r="E30" i="116" s="1"/>
  <c r="E33" i="116" s="1"/>
  <c r="I20" i="116"/>
  <c r="G20" i="116"/>
  <c r="E20" i="116"/>
  <c r="C20" i="116"/>
  <c r="B26" i="116" s="1"/>
  <c r="I19" i="116"/>
  <c r="G19" i="116"/>
  <c r="E19" i="116"/>
  <c r="C19" i="116"/>
  <c r="B25" i="116" s="1"/>
  <c r="I15" i="116"/>
  <c r="B23" i="116" s="1"/>
  <c r="E15" i="116"/>
  <c r="C15" i="116"/>
  <c r="L11" i="116"/>
  <c r="M11" i="116" s="1"/>
  <c r="J11" i="116"/>
  <c r="I11" i="116"/>
  <c r="G11" i="116"/>
  <c r="F11" i="116"/>
  <c r="C27" i="116" s="1"/>
  <c r="D11" i="116"/>
  <c r="C11" i="116"/>
  <c r="O10" i="116"/>
  <c r="E26" i="116" s="1"/>
  <c r="M10" i="116"/>
  <c r="L10" i="116"/>
  <c r="I10" i="116"/>
  <c r="J10" i="116" s="1"/>
  <c r="G10" i="116"/>
  <c r="D26" i="116" s="1"/>
  <c r="D10" i="116"/>
  <c r="C10" i="116"/>
  <c r="C26" i="116" s="1"/>
  <c r="O9" i="116"/>
  <c r="E25" i="116" s="1"/>
  <c r="M9" i="116"/>
  <c r="L9" i="116"/>
  <c r="I9" i="116"/>
  <c r="J9" i="116" s="1"/>
  <c r="G9" i="116"/>
  <c r="F9" i="116"/>
  <c r="D9" i="116"/>
  <c r="C9" i="116"/>
  <c r="C25" i="116" s="1"/>
  <c r="O5" i="116"/>
  <c r="M5" i="116"/>
  <c r="L5" i="116"/>
  <c r="G5" i="116"/>
  <c r="F5" i="116"/>
  <c r="D5" i="116"/>
  <c r="O4" i="116"/>
  <c r="M4" i="116"/>
  <c r="L4" i="116"/>
  <c r="J4" i="116"/>
  <c r="I4" i="116"/>
  <c r="L26" i="116"/>
  <c r="D4" i="116"/>
  <c r="C4" i="116"/>
  <c r="E5" i="115"/>
  <c r="B5" i="115"/>
  <c r="E4" i="115"/>
  <c r="D25" i="116" l="1"/>
  <c r="E34" i="116"/>
  <c r="E35" i="116" s="1"/>
  <c r="D23" i="116"/>
  <c r="D30" i="116" s="1"/>
  <c r="D33" i="116" s="1"/>
  <c r="D27" i="116"/>
  <c r="B30" i="116"/>
  <c r="C24" i="116"/>
  <c r="I26" i="116"/>
  <c r="H28" i="116"/>
  <c r="I28" i="116" s="1"/>
  <c r="F4" i="116"/>
  <c r="C5" i="116"/>
  <c r="I23" i="116"/>
  <c r="D24" i="116"/>
  <c r="G4" i="116"/>
  <c r="J23" i="116"/>
  <c r="J36" i="115"/>
  <c r="J35" i="115"/>
  <c r="B34" i="115"/>
  <c r="H29" i="115"/>
  <c r="H28" i="115"/>
  <c r="I28" i="115" s="1"/>
  <c r="E27" i="115"/>
  <c r="B27" i="115"/>
  <c r="K26" i="115"/>
  <c r="J26" i="115"/>
  <c r="I26" i="115"/>
  <c r="G26" i="115"/>
  <c r="K23" i="115"/>
  <c r="I20" i="115"/>
  <c r="G20" i="115"/>
  <c r="E20" i="115"/>
  <c r="C20" i="115"/>
  <c r="B26" i="115" s="1"/>
  <c r="I19" i="115"/>
  <c r="G19" i="115"/>
  <c r="E19" i="115"/>
  <c r="C19" i="115"/>
  <c r="B25" i="115" s="1"/>
  <c r="I15" i="115"/>
  <c r="B23" i="115" s="1"/>
  <c r="E15" i="115"/>
  <c r="C15" i="115"/>
  <c r="L11" i="115"/>
  <c r="M11" i="115" s="1"/>
  <c r="J11" i="115"/>
  <c r="I11" i="115"/>
  <c r="G11" i="115"/>
  <c r="F11" i="115"/>
  <c r="C27" i="115" s="1"/>
  <c r="D11" i="115"/>
  <c r="C11" i="115"/>
  <c r="O10" i="115"/>
  <c r="E26" i="115" s="1"/>
  <c r="M10" i="115"/>
  <c r="L10" i="115"/>
  <c r="I10" i="115"/>
  <c r="J10" i="115" s="1"/>
  <c r="G10" i="115"/>
  <c r="D26" i="115" s="1"/>
  <c r="D10" i="115"/>
  <c r="C10" i="115"/>
  <c r="C26" i="115" s="1"/>
  <c r="O9" i="115"/>
  <c r="E25" i="115" s="1"/>
  <c r="M9" i="115"/>
  <c r="L9" i="115"/>
  <c r="I9" i="115"/>
  <c r="J9" i="115" s="1"/>
  <c r="G9" i="115"/>
  <c r="D25" i="115" s="1"/>
  <c r="F9" i="115"/>
  <c r="D9" i="115"/>
  <c r="C9" i="115"/>
  <c r="C25" i="115" s="1"/>
  <c r="O5" i="115"/>
  <c r="M5" i="115"/>
  <c r="L5" i="115"/>
  <c r="G5" i="115"/>
  <c r="F5" i="115"/>
  <c r="D5" i="115"/>
  <c r="O4" i="115"/>
  <c r="E23" i="115" s="1"/>
  <c r="E30" i="115" s="1"/>
  <c r="E33" i="115" s="1"/>
  <c r="M4" i="115"/>
  <c r="L4" i="115"/>
  <c r="J4" i="115"/>
  <c r="I4" i="115"/>
  <c r="G4" i="115"/>
  <c r="D4" i="115"/>
  <c r="L26" i="115"/>
  <c r="F16" i="114"/>
  <c r="F15" i="114"/>
  <c r="F17" i="114" s="1"/>
  <c r="E14" i="114"/>
  <c r="E13" i="114"/>
  <c r="E17" i="114" s="1"/>
  <c r="H6" i="114"/>
  <c r="F6" i="114"/>
  <c r="I6" i="114" s="1"/>
  <c r="I5" i="114"/>
  <c r="E5" i="114"/>
  <c r="H4" i="114"/>
  <c r="F4" i="114"/>
  <c r="I4" i="114" s="1"/>
  <c r="I7" i="114" s="1"/>
  <c r="E17" i="113"/>
  <c r="B5" i="112"/>
  <c r="D5" i="112" s="1"/>
  <c r="E4" i="112"/>
  <c r="B4" i="112"/>
  <c r="D4" i="112" s="1"/>
  <c r="F16" i="113"/>
  <c r="G15" i="113"/>
  <c r="G17" i="113" s="1"/>
  <c r="F14" i="113"/>
  <c r="F13" i="113"/>
  <c r="F17" i="113" s="1"/>
  <c r="I6" i="113"/>
  <c r="G6" i="113"/>
  <c r="J6" i="113" s="1"/>
  <c r="F5" i="113"/>
  <c r="J5" i="113" s="1"/>
  <c r="J7" i="113" s="1"/>
  <c r="I4" i="113"/>
  <c r="F4" i="113"/>
  <c r="J4" i="113" s="1"/>
  <c r="J36" i="112"/>
  <c r="J35" i="112"/>
  <c r="B34" i="112"/>
  <c r="H29" i="112"/>
  <c r="E27" i="112"/>
  <c r="B27" i="112"/>
  <c r="K26" i="112"/>
  <c r="J26" i="112"/>
  <c r="I26" i="112"/>
  <c r="G26" i="112"/>
  <c r="K23" i="112"/>
  <c r="I20" i="112"/>
  <c r="G20" i="112"/>
  <c r="E20" i="112"/>
  <c r="C20" i="112"/>
  <c r="B26" i="112" s="1"/>
  <c r="I19" i="112"/>
  <c r="G19" i="112"/>
  <c r="E19" i="112"/>
  <c r="C19" i="112"/>
  <c r="B25" i="112" s="1"/>
  <c r="I15" i="112"/>
  <c r="E15" i="112"/>
  <c r="C15" i="112"/>
  <c r="B23" i="112" s="1"/>
  <c r="L11" i="112"/>
  <c r="M11" i="112" s="1"/>
  <c r="J11" i="112"/>
  <c r="I11" i="112"/>
  <c r="G11" i="112"/>
  <c r="D27" i="112" s="1"/>
  <c r="F11" i="112"/>
  <c r="D11" i="112"/>
  <c r="C11" i="112"/>
  <c r="C27" i="112" s="1"/>
  <c r="O10" i="112"/>
  <c r="E26" i="112" s="1"/>
  <c r="M10" i="112"/>
  <c r="L10" i="112"/>
  <c r="J10" i="112"/>
  <c r="I10" i="112"/>
  <c r="G10" i="112"/>
  <c r="D26" i="112" s="1"/>
  <c r="D10" i="112"/>
  <c r="C10" i="112"/>
  <c r="C26" i="112" s="1"/>
  <c r="O9" i="112"/>
  <c r="E25" i="112" s="1"/>
  <c r="M9" i="112"/>
  <c r="L9" i="112"/>
  <c r="J9" i="112"/>
  <c r="I9" i="112"/>
  <c r="G9" i="112"/>
  <c r="F9" i="112"/>
  <c r="D9" i="112"/>
  <c r="D25" i="112" s="1"/>
  <c r="C9" i="112"/>
  <c r="C25" i="112" s="1"/>
  <c r="O5" i="112"/>
  <c r="M5" i="112"/>
  <c r="L5" i="112"/>
  <c r="G5" i="112"/>
  <c r="F5" i="112"/>
  <c r="O4" i="112"/>
  <c r="E23" i="112" s="1"/>
  <c r="E30" i="112" s="1"/>
  <c r="E33" i="112" s="1"/>
  <c r="M4" i="112"/>
  <c r="L4" i="112"/>
  <c r="J4" i="112"/>
  <c r="I4" i="112"/>
  <c r="B5" i="110"/>
  <c r="H28" i="110" s="1"/>
  <c r="I28" i="110" s="1"/>
  <c r="E16" i="111"/>
  <c r="E17" i="111" s="1"/>
  <c r="F15" i="111"/>
  <c r="F17" i="111" s="1"/>
  <c r="E14" i="111"/>
  <c r="E13" i="111"/>
  <c r="H5" i="111"/>
  <c r="I5" i="111" s="1"/>
  <c r="H4" i="111"/>
  <c r="I4" i="111" s="1"/>
  <c r="I7" i="111" s="1"/>
  <c r="H17" i="111" s="1"/>
  <c r="J35" i="110"/>
  <c r="J36" i="110" s="1"/>
  <c r="B34" i="110"/>
  <c r="H29" i="110"/>
  <c r="E27" i="110"/>
  <c r="B27" i="110"/>
  <c r="K26" i="110"/>
  <c r="J26" i="110"/>
  <c r="I26" i="110"/>
  <c r="H26" i="110"/>
  <c r="G26" i="110"/>
  <c r="K23" i="110"/>
  <c r="I20" i="110"/>
  <c r="G20" i="110"/>
  <c r="E20" i="110"/>
  <c r="B26" i="110" s="1"/>
  <c r="C20" i="110"/>
  <c r="I19" i="110"/>
  <c r="G19" i="110"/>
  <c r="E19" i="110"/>
  <c r="B25" i="110" s="1"/>
  <c r="C19" i="110"/>
  <c r="I15" i="110"/>
  <c r="E15" i="110"/>
  <c r="C15" i="110"/>
  <c r="B23" i="110" s="1"/>
  <c r="B30" i="110" s="1"/>
  <c r="L11" i="110"/>
  <c r="M11" i="110" s="1"/>
  <c r="J11" i="110"/>
  <c r="I11" i="110"/>
  <c r="G11" i="110"/>
  <c r="F11" i="110"/>
  <c r="D11" i="110"/>
  <c r="C11" i="110"/>
  <c r="C27" i="110" s="1"/>
  <c r="O10" i="110"/>
  <c r="E26" i="110" s="1"/>
  <c r="M10" i="110"/>
  <c r="L10" i="110"/>
  <c r="J10" i="110"/>
  <c r="I10" i="110"/>
  <c r="G10" i="110"/>
  <c r="D26" i="110" s="1"/>
  <c r="D10" i="110"/>
  <c r="C10" i="110"/>
  <c r="C26" i="110" s="1"/>
  <c r="O9" i="110"/>
  <c r="E25" i="110" s="1"/>
  <c r="M9" i="110"/>
  <c r="L9" i="110"/>
  <c r="J9" i="110"/>
  <c r="I9" i="110"/>
  <c r="G9" i="110"/>
  <c r="F9" i="110"/>
  <c r="D9" i="110"/>
  <c r="D25" i="110" s="1"/>
  <c r="C9" i="110"/>
  <c r="C25" i="110" s="1"/>
  <c r="O5" i="110"/>
  <c r="M5" i="110"/>
  <c r="L5" i="110"/>
  <c r="G5" i="110"/>
  <c r="F5" i="110"/>
  <c r="C5" i="110"/>
  <c r="D5" i="110"/>
  <c r="O4" i="110"/>
  <c r="E23" i="110" s="1"/>
  <c r="E30" i="110" s="1"/>
  <c r="E33" i="110" s="1"/>
  <c r="M4" i="110"/>
  <c r="L4" i="110"/>
  <c r="J4" i="110"/>
  <c r="I4" i="110"/>
  <c r="F4" i="110"/>
  <c r="L26" i="110"/>
  <c r="D4" i="110"/>
  <c r="C4" i="110"/>
  <c r="E4" i="108"/>
  <c r="I7" i="109"/>
  <c r="H7" i="109"/>
  <c r="G7" i="109"/>
  <c r="E7" i="109"/>
  <c r="B5" i="108"/>
  <c r="E17" i="109"/>
  <c r="F14" i="109"/>
  <c r="G4" i="109"/>
  <c r="C23" i="116" l="1"/>
  <c r="C30" i="116" s="1"/>
  <c r="C33" i="116" s="1"/>
  <c r="C34" i="116" s="1"/>
  <c r="E36" i="116"/>
  <c r="E37" i="116"/>
  <c r="B33" i="116"/>
  <c r="D34" i="116"/>
  <c r="D35" i="116"/>
  <c r="E34" i="115"/>
  <c r="E35" i="115" s="1"/>
  <c r="D27" i="115"/>
  <c r="D23" i="115"/>
  <c r="D30" i="115" s="1"/>
  <c r="D33" i="115" s="1"/>
  <c r="B30" i="115"/>
  <c r="C5" i="115"/>
  <c r="J23" i="115"/>
  <c r="C24" i="115"/>
  <c r="I23" i="115"/>
  <c r="D24" i="115"/>
  <c r="F4" i="115"/>
  <c r="C4" i="115"/>
  <c r="H26" i="115"/>
  <c r="H17" i="114"/>
  <c r="G4" i="112"/>
  <c r="F4" i="112"/>
  <c r="L26" i="112"/>
  <c r="C4" i="112"/>
  <c r="H26" i="112"/>
  <c r="I17" i="113"/>
  <c r="D23" i="112"/>
  <c r="B30" i="112"/>
  <c r="E34" i="112"/>
  <c r="E35" i="112" s="1"/>
  <c r="C24" i="112"/>
  <c r="H28" i="112"/>
  <c r="I28" i="112" s="1"/>
  <c r="I23" i="112"/>
  <c r="D24" i="112"/>
  <c r="D30" i="112" s="1"/>
  <c r="D33" i="112" s="1"/>
  <c r="C5" i="112"/>
  <c r="C23" i="112" s="1"/>
  <c r="C30" i="112" s="1"/>
  <c r="C33" i="112" s="1"/>
  <c r="J23" i="112"/>
  <c r="C23" i="110"/>
  <c r="E34" i="110"/>
  <c r="E35" i="110" s="1"/>
  <c r="B33" i="110"/>
  <c r="D27" i="110"/>
  <c r="J23" i="110"/>
  <c r="D24" i="110"/>
  <c r="C24" i="110"/>
  <c r="C30" i="110" s="1"/>
  <c r="I23" i="110"/>
  <c r="G4" i="110"/>
  <c r="D23" i="110" s="1"/>
  <c r="D30" i="110" s="1"/>
  <c r="D33" i="110" s="1"/>
  <c r="D5" i="108"/>
  <c r="F16" i="109"/>
  <c r="G15" i="109"/>
  <c r="G17" i="109"/>
  <c r="F13" i="109"/>
  <c r="F17" i="109" s="1"/>
  <c r="L11" i="109"/>
  <c r="I6" i="109"/>
  <c r="G6" i="109"/>
  <c r="I5" i="109"/>
  <c r="G5" i="109"/>
  <c r="J5" i="109" s="1"/>
  <c r="I4" i="109"/>
  <c r="J4" i="109"/>
  <c r="F30" i="116" l="1"/>
  <c r="D36" i="116"/>
  <c r="D37" i="116" s="1"/>
  <c r="B35" i="116"/>
  <c r="F33" i="116"/>
  <c r="F34" i="116"/>
  <c r="C35" i="116"/>
  <c r="C23" i="115"/>
  <c r="C30" i="115" s="1"/>
  <c r="C33" i="115" s="1"/>
  <c r="C34" i="115" s="1"/>
  <c r="C35" i="115" s="1"/>
  <c r="E36" i="115"/>
  <c r="E37" i="115" s="1"/>
  <c r="D34" i="115"/>
  <c r="D35" i="115" s="1"/>
  <c r="F30" i="115"/>
  <c r="B33" i="115"/>
  <c r="C34" i="112"/>
  <c r="D34" i="112"/>
  <c r="D35" i="112" s="1"/>
  <c r="E36" i="112"/>
  <c r="E37" i="112" s="1"/>
  <c r="F30" i="112"/>
  <c r="B33" i="112"/>
  <c r="C33" i="110"/>
  <c r="F33" i="110" s="1"/>
  <c r="F30" i="110"/>
  <c r="D34" i="110"/>
  <c r="D35" i="110"/>
  <c r="E36" i="110"/>
  <c r="E37" i="110" s="1"/>
  <c r="B35" i="110"/>
  <c r="C5" i="108"/>
  <c r="J6" i="109"/>
  <c r="J7" i="109"/>
  <c r="I17" i="109" s="1"/>
  <c r="F35" i="116" l="1"/>
  <c r="B36" i="116"/>
  <c r="C36" i="116"/>
  <c r="C37" i="116" s="1"/>
  <c r="F33" i="115"/>
  <c r="B35" i="115"/>
  <c r="F34" i="115"/>
  <c r="C36" i="115"/>
  <c r="C37" i="115" s="1"/>
  <c r="D36" i="115"/>
  <c r="D37" i="115" s="1"/>
  <c r="F34" i="112"/>
  <c r="D36" i="112"/>
  <c r="D37" i="112" s="1"/>
  <c r="B35" i="112"/>
  <c r="F33" i="112"/>
  <c r="C35" i="112"/>
  <c r="B36" i="110"/>
  <c r="D36" i="110"/>
  <c r="D37" i="110" s="1"/>
  <c r="C34" i="110"/>
  <c r="F34" i="110" s="1"/>
  <c r="J35" i="108"/>
  <c r="J36" i="108" s="1"/>
  <c r="B34" i="108"/>
  <c r="H29" i="108"/>
  <c r="E27" i="108"/>
  <c r="B27" i="108"/>
  <c r="K26" i="108"/>
  <c r="J26" i="108"/>
  <c r="G26" i="108"/>
  <c r="K23" i="108"/>
  <c r="E23" i="108"/>
  <c r="I20" i="108"/>
  <c r="G20" i="108"/>
  <c r="E20" i="108"/>
  <c r="B26" i="108" s="1"/>
  <c r="C20" i="108"/>
  <c r="I19" i="108"/>
  <c r="G19" i="108"/>
  <c r="E19" i="108"/>
  <c r="B25" i="108" s="1"/>
  <c r="C19" i="108"/>
  <c r="I15" i="108"/>
  <c r="E15" i="108"/>
  <c r="C15" i="108"/>
  <c r="B23" i="108" s="1"/>
  <c r="B30" i="108" s="1"/>
  <c r="L11" i="108"/>
  <c r="M11" i="108" s="1"/>
  <c r="J11" i="108"/>
  <c r="I11" i="108"/>
  <c r="G11" i="108"/>
  <c r="F11" i="108"/>
  <c r="C24" i="108" s="1"/>
  <c r="D11" i="108"/>
  <c r="D24" i="108" s="1"/>
  <c r="C11" i="108"/>
  <c r="C27" i="108" s="1"/>
  <c r="O10" i="108"/>
  <c r="E26" i="108" s="1"/>
  <c r="M10" i="108"/>
  <c r="L10" i="108"/>
  <c r="J10" i="108"/>
  <c r="I10" i="108"/>
  <c r="G10" i="108"/>
  <c r="D26" i="108" s="1"/>
  <c r="D10" i="108"/>
  <c r="C10" i="108"/>
  <c r="C26" i="108" s="1"/>
  <c r="O9" i="108"/>
  <c r="E25" i="108" s="1"/>
  <c r="M9" i="108"/>
  <c r="L9" i="108"/>
  <c r="J9" i="108"/>
  <c r="I9" i="108"/>
  <c r="G9" i="108"/>
  <c r="D25" i="108" s="1"/>
  <c r="F9" i="108"/>
  <c r="D9" i="108"/>
  <c r="C9" i="108"/>
  <c r="C25" i="108" s="1"/>
  <c r="O5" i="108"/>
  <c r="M5" i="108"/>
  <c r="L5" i="108"/>
  <c r="G5" i="108"/>
  <c r="F5" i="108"/>
  <c r="O4" i="108"/>
  <c r="M4" i="108"/>
  <c r="L4" i="108"/>
  <c r="J4" i="108"/>
  <c r="I4" i="108"/>
  <c r="G4" i="108"/>
  <c r="C4" i="108"/>
  <c r="L26" i="108"/>
  <c r="B4" i="106"/>
  <c r="E4" i="106"/>
  <c r="E16" i="107"/>
  <c r="F36" i="116" l="1"/>
  <c r="B37" i="116"/>
  <c r="F37" i="116" s="1"/>
  <c r="J37" i="116" s="1"/>
  <c r="B36" i="115"/>
  <c r="F36" i="115" s="1"/>
  <c r="F35" i="115"/>
  <c r="F35" i="112"/>
  <c r="B36" i="112"/>
  <c r="C36" i="112"/>
  <c r="C37" i="112" s="1"/>
  <c r="C35" i="110"/>
  <c r="B37" i="110"/>
  <c r="B33" i="108"/>
  <c r="J23" i="108"/>
  <c r="D27" i="108"/>
  <c r="E30" i="108"/>
  <c r="E33" i="108" s="1"/>
  <c r="I26" i="108"/>
  <c r="H28" i="108"/>
  <c r="I28" i="108" s="1"/>
  <c r="F4" i="108"/>
  <c r="C23" i="108" s="1"/>
  <c r="C30" i="108" s="1"/>
  <c r="I23" i="108"/>
  <c r="D4" i="108"/>
  <c r="D23" i="108" s="1"/>
  <c r="H26" i="108"/>
  <c r="E19" i="107"/>
  <c r="F15" i="107"/>
  <c r="F14" i="107"/>
  <c r="I6" i="107"/>
  <c r="H6" i="107"/>
  <c r="F6" i="107"/>
  <c r="H5" i="107"/>
  <c r="F5" i="107"/>
  <c r="H4" i="107"/>
  <c r="F4" i="107"/>
  <c r="J35" i="106"/>
  <c r="J36" i="106" s="1"/>
  <c r="B34" i="106"/>
  <c r="H29" i="106"/>
  <c r="E27" i="106"/>
  <c r="B27" i="106"/>
  <c r="L26" i="106"/>
  <c r="K26" i="106"/>
  <c r="J26" i="106"/>
  <c r="H26" i="106"/>
  <c r="G26" i="106"/>
  <c r="K23" i="106"/>
  <c r="I20" i="106"/>
  <c r="G20" i="106"/>
  <c r="E20" i="106"/>
  <c r="B26" i="106" s="1"/>
  <c r="C20" i="106"/>
  <c r="I19" i="106"/>
  <c r="G19" i="106"/>
  <c r="E19" i="106"/>
  <c r="B25" i="106" s="1"/>
  <c r="C19" i="106"/>
  <c r="I15" i="106"/>
  <c r="E15" i="106"/>
  <c r="C15" i="106"/>
  <c r="B23" i="106" s="1"/>
  <c r="B30" i="106" s="1"/>
  <c r="L11" i="106"/>
  <c r="M11" i="106" s="1"/>
  <c r="J11" i="106"/>
  <c r="I11" i="106"/>
  <c r="G11" i="106"/>
  <c r="F11" i="106"/>
  <c r="D11" i="106"/>
  <c r="C11" i="106"/>
  <c r="O10" i="106"/>
  <c r="E26" i="106" s="1"/>
  <c r="M10" i="106"/>
  <c r="L10" i="106"/>
  <c r="I10" i="106"/>
  <c r="J10" i="106" s="1"/>
  <c r="G10" i="106"/>
  <c r="D10" i="106"/>
  <c r="C10" i="106"/>
  <c r="O9" i="106"/>
  <c r="E25" i="106" s="1"/>
  <c r="M9" i="106"/>
  <c r="L9" i="106"/>
  <c r="I9" i="106"/>
  <c r="J9" i="106" s="1"/>
  <c r="G9" i="106"/>
  <c r="F9" i="106"/>
  <c r="D9" i="106"/>
  <c r="C9" i="106"/>
  <c r="O5" i="106"/>
  <c r="M5" i="106"/>
  <c r="L5" i="106"/>
  <c r="G5" i="106"/>
  <c r="F5" i="106"/>
  <c r="O4" i="106"/>
  <c r="E23" i="106" s="1"/>
  <c r="M4" i="106"/>
  <c r="L4" i="106"/>
  <c r="J4" i="106"/>
  <c r="I4" i="106"/>
  <c r="G4" i="106"/>
  <c r="D4" i="106"/>
  <c r="C4" i="106"/>
  <c r="B37" i="115" l="1"/>
  <c r="F37" i="115" s="1"/>
  <c r="J37" i="115" s="1"/>
  <c r="F36" i="112"/>
  <c r="B37" i="112"/>
  <c r="F37" i="112" s="1"/>
  <c r="J37" i="112" s="1"/>
  <c r="C36" i="110"/>
  <c r="F36" i="110" s="1"/>
  <c r="F35" i="110"/>
  <c r="C33" i="108"/>
  <c r="D30" i="108"/>
  <c r="D33" i="108" s="1"/>
  <c r="B35" i="108"/>
  <c r="E34" i="108"/>
  <c r="E35" i="108" s="1"/>
  <c r="C27" i="106"/>
  <c r="I4" i="107"/>
  <c r="D25" i="106"/>
  <c r="I5" i="107"/>
  <c r="I7" i="107" s="1"/>
  <c r="E30" i="106"/>
  <c r="E33" i="106" s="1"/>
  <c r="E34" i="106" s="1"/>
  <c r="E35" i="106" s="1"/>
  <c r="C25" i="106"/>
  <c r="D26" i="106"/>
  <c r="C26" i="106"/>
  <c r="D27" i="106"/>
  <c r="F19" i="107"/>
  <c r="D23" i="106"/>
  <c r="B33" i="106"/>
  <c r="C24" i="106"/>
  <c r="I26" i="106"/>
  <c r="H28" i="106"/>
  <c r="I28" i="106" s="1"/>
  <c r="F4" i="106"/>
  <c r="C23" i="106" s="1"/>
  <c r="C30" i="106" s="1"/>
  <c r="I23" i="106"/>
  <c r="D24" i="106"/>
  <c r="J23" i="106"/>
  <c r="E4" i="104"/>
  <c r="E17" i="105"/>
  <c r="F16" i="105"/>
  <c r="F15" i="105"/>
  <c r="F14" i="105"/>
  <c r="F13" i="105"/>
  <c r="H6" i="105"/>
  <c r="F6" i="105"/>
  <c r="I6" i="105" s="1"/>
  <c r="I5" i="105"/>
  <c r="H5" i="105"/>
  <c r="F5" i="105"/>
  <c r="H4" i="105"/>
  <c r="F4" i="105"/>
  <c r="C37" i="110" l="1"/>
  <c r="F37" i="110" s="1"/>
  <c r="J37" i="110" s="1"/>
  <c r="E36" i="108"/>
  <c r="E37" i="108" s="1"/>
  <c r="C34" i="108"/>
  <c r="C35" i="108" s="1"/>
  <c r="B36" i="108"/>
  <c r="B37" i="108" s="1"/>
  <c r="D34" i="108"/>
  <c r="D35" i="108" s="1"/>
  <c r="F30" i="108"/>
  <c r="F33" i="108"/>
  <c r="D30" i="106"/>
  <c r="D33" i="106" s="1"/>
  <c r="I4" i="105"/>
  <c r="I7" i="105" s="1"/>
  <c r="F17" i="105"/>
  <c r="H19" i="107"/>
  <c r="C33" i="106"/>
  <c r="F30" i="106"/>
  <c r="E36" i="106"/>
  <c r="E37" i="106"/>
  <c r="D34" i="106"/>
  <c r="D35" i="106" s="1"/>
  <c r="B35" i="106"/>
  <c r="J35" i="104"/>
  <c r="J36" i="104" s="1"/>
  <c r="B34" i="104"/>
  <c r="H29" i="104"/>
  <c r="E27" i="104"/>
  <c r="B27" i="104"/>
  <c r="K26" i="104"/>
  <c r="J26" i="104"/>
  <c r="H26" i="104"/>
  <c r="G26" i="104"/>
  <c r="K23" i="104"/>
  <c r="I20" i="104"/>
  <c r="G20" i="104"/>
  <c r="E20" i="104"/>
  <c r="C20" i="104"/>
  <c r="I19" i="104"/>
  <c r="G19" i="104"/>
  <c r="E19" i="104"/>
  <c r="C19" i="104"/>
  <c r="I15" i="104"/>
  <c r="E15" i="104"/>
  <c r="C15" i="104"/>
  <c r="L11" i="104"/>
  <c r="M11" i="104" s="1"/>
  <c r="J11" i="104"/>
  <c r="I11" i="104"/>
  <c r="G11" i="104"/>
  <c r="F11" i="104"/>
  <c r="D11" i="104"/>
  <c r="C11" i="104"/>
  <c r="O10" i="104"/>
  <c r="E26" i="104" s="1"/>
  <c r="M10" i="104"/>
  <c r="L10" i="104"/>
  <c r="I10" i="104"/>
  <c r="J10" i="104" s="1"/>
  <c r="G10" i="104"/>
  <c r="D10" i="104"/>
  <c r="C10" i="104"/>
  <c r="O9" i="104"/>
  <c r="E25" i="104" s="1"/>
  <c r="M9" i="104"/>
  <c r="L9" i="104"/>
  <c r="I9" i="104"/>
  <c r="J9" i="104" s="1"/>
  <c r="G9" i="104"/>
  <c r="F9" i="104"/>
  <c r="D9" i="104"/>
  <c r="C9" i="104"/>
  <c r="O5" i="104"/>
  <c r="M5" i="104"/>
  <c r="L5" i="104"/>
  <c r="G5" i="104"/>
  <c r="F5" i="104"/>
  <c r="O4" i="104"/>
  <c r="E23" i="104" s="1"/>
  <c r="E30" i="104" s="1"/>
  <c r="E33" i="104" s="1"/>
  <c r="M4" i="104"/>
  <c r="L4" i="104"/>
  <c r="J4" i="104"/>
  <c r="I4" i="104"/>
  <c r="L26" i="104"/>
  <c r="D4" i="104"/>
  <c r="C4" i="104"/>
  <c r="F12" i="103"/>
  <c r="F11" i="103"/>
  <c r="F10" i="103"/>
  <c r="E9" i="103"/>
  <c r="E13" i="103" s="1"/>
  <c r="H4" i="103"/>
  <c r="F4" i="103"/>
  <c r="I4" i="103" l="1"/>
  <c r="F34" i="108"/>
  <c r="C36" i="108"/>
  <c r="F35" i="108"/>
  <c r="D36" i="108"/>
  <c r="D37" i="108" s="1"/>
  <c r="D25" i="104"/>
  <c r="C26" i="104"/>
  <c r="C27" i="104"/>
  <c r="I5" i="103"/>
  <c r="D26" i="104"/>
  <c r="F13" i="103"/>
  <c r="C25" i="104"/>
  <c r="B23" i="104"/>
  <c r="B25" i="104"/>
  <c r="B26" i="104"/>
  <c r="H17" i="105"/>
  <c r="D36" i="106"/>
  <c r="D37" i="106" s="1"/>
  <c r="C34" i="106"/>
  <c r="F34" i="106" s="1"/>
  <c r="F33" i="106"/>
  <c r="B36" i="106"/>
  <c r="B37" i="106" s="1"/>
  <c r="E34" i="104"/>
  <c r="E35" i="104" s="1"/>
  <c r="D27" i="104"/>
  <c r="J23" i="104"/>
  <c r="D24" i="104"/>
  <c r="C24" i="104"/>
  <c r="I26" i="104"/>
  <c r="H28" i="104"/>
  <c r="I28" i="104" s="1"/>
  <c r="F4" i="104"/>
  <c r="C23" i="104" s="1"/>
  <c r="I23" i="104"/>
  <c r="G4" i="104"/>
  <c r="D23" i="104" s="1"/>
  <c r="D30" i="104" s="1"/>
  <c r="H13" i="103"/>
  <c r="F36" i="108" l="1"/>
  <c r="C37" i="108"/>
  <c r="F37" i="108" s="1"/>
  <c r="J37" i="108" s="1"/>
  <c r="C35" i="106"/>
  <c r="C30" i="104"/>
  <c r="B30" i="104"/>
  <c r="B33" i="104" s="1"/>
  <c r="C36" i="106"/>
  <c r="F36" i="106" s="1"/>
  <c r="F35" i="106"/>
  <c r="E36" i="104"/>
  <c r="E37" i="104" s="1"/>
  <c r="B35" i="104" l="1"/>
  <c r="C33" i="104"/>
  <c r="F30" i="104"/>
  <c r="D33" i="104"/>
  <c r="D34" i="104" s="1"/>
  <c r="D35" i="104" s="1"/>
  <c r="D36" i="104" s="1"/>
  <c r="D37" i="104" s="1"/>
  <c r="C37" i="106"/>
  <c r="F37" i="106" s="1"/>
  <c r="J37" i="106" s="1"/>
  <c r="B36" i="104"/>
  <c r="B37" i="104" s="1"/>
  <c r="F33" i="104" l="1"/>
  <c r="C34" i="104"/>
  <c r="F34" i="104" s="1"/>
  <c r="C35" i="104"/>
  <c r="F35" i="104" s="1"/>
  <c r="C36" i="104"/>
  <c r="C37" i="104" s="1"/>
  <c r="F37" i="104" s="1"/>
  <c r="J37" i="104" s="1"/>
  <c r="E4" i="102"/>
  <c r="J35" i="102"/>
  <c r="J36" i="102" s="1"/>
  <c r="B34" i="102"/>
  <c r="H29" i="102"/>
  <c r="H28" i="102"/>
  <c r="I28" i="102" s="1"/>
  <c r="E27" i="102"/>
  <c r="B27" i="102"/>
  <c r="L26" i="102"/>
  <c r="K26" i="102"/>
  <c r="J26" i="102"/>
  <c r="I26" i="102"/>
  <c r="H26" i="102"/>
  <c r="G26" i="102"/>
  <c r="K23" i="102"/>
  <c r="I20" i="102"/>
  <c r="G20" i="102"/>
  <c r="E20" i="102"/>
  <c r="C20" i="102"/>
  <c r="I19" i="102"/>
  <c r="G19" i="102"/>
  <c r="E19" i="102"/>
  <c r="C19" i="102"/>
  <c r="I15" i="102"/>
  <c r="E15" i="102"/>
  <c r="C15" i="102"/>
  <c r="L11" i="102"/>
  <c r="M11" i="102" s="1"/>
  <c r="J11" i="102"/>
  <c r="I11" i="102"/>
  <c r="G11" i="102"/>
  <c r="F11" i="102"/>
  <c r="D11" i="102"/>
  <c r="C11" i="102"/>
  <c r="O10" i="102"/>
  <c r="E26" i="102" s="1"/>
  <c r="M10" i="102"/>
  <c r="L10" i="102"/>
  <c r="I10" i="102"/>
  <c r="J10" i="102" s="1"/>
  <c r="G10" i="102"/>
  <c r="D10" i="102"/>
  <c r="C10" i="102"/>
  <c r="O9" i="102"/>
  <c r="E25" i="102" s="1"/>
  <c r="M9" i="102"/>
  <c r="L9" i="102"/>
  <c r="I9" i="102"/>
  <c r="J9" i="102" s="1"/>
  <c r="G9" i="102"/>
  <c r="F9" i="102"/>
  <c r="D9" i="102"/>
  <c r="C9" i="102"/>
  <c r="O5" i="102"/>
  <c r="M5" i="102"/>
  <c r="L5" i="102"/>
  <c r="G5" i="102"/>
  <c r="F5" i="102"/>
  <c r="O4" i="102"/>
  <c r="E23" i="102" s="1"/>
  <c r="M4" i="102"/>
  <c r="L4" i="102"/>
  <c r="J4" i="102"/>
  <c r="I4" i="102"/>
  <c r="G4" i="102"/>
  <c r="F4" i="102"/>
  <c r="D4" i="102"/>
  <c r="C4" i="102"/>
  <c r="E17" i="101"/>
  <c r="F16" i="101"/>
  <c r="F15" i="101"/>
  <c r="F14" i="101"/>
  <c r="F13" i="101"/>
  <c r="H6" i="101"/>
  <c r="F6" i="101"/>
  <c r="H5" i="101"/>
  <c r="F5" i="101"/>
  <c r="I5" i="101" s="1"/>
  <c r="H4" i="101"/>
  <c r="I4" i="101" s="1"/>
  <c r="F4" i="101"/>
  <c r="F36" i="104" l="1"/>
  <c r="F17" i="101"/>
  <c r="D25" i="102"/>
  <c r="C26" i="102"/>
  <c r="D26" i="102"/>
  <c r="D27" i="102"/>
  <c r="B25" i="102"/>
  <c r="B26" i="102"/>
  <c r="I6" i="101"/>
  <c r="C27" i="102"/>
  <c r="B23" i="102"/>
  <c r="C23" i="102"/>
  <c r="C25" i="102"/>
  <c r="D23" i="102"/>
  <c r="E30" i="102"/>
  <c r="E33" i="102" s="1"/>
  <c r="B30" i="102"/>
  <c r="C24" i="102"/>
  <c r="I23" i="102"/>
  <c r="D24" i="102"/>
  <c r="J23" i="102"/>
  <c r="I7" i="101"/>
  <c r="H17" i="101" s="1"/>
  <c r="J4" i="100"/>
  <c r="I4" i="100"/>
  <c r="D30" i="102" l="1"/>
  <c r="D33" i="102" s="1"/>
  <c r="D34" i="102" s="1"/>
  <c r="D35" i="102" s="1"/>
  <c r="C30" i="102"/>
  <c r="C33" i="102" s="1"/>
  <c r="F30" i="102"/>
  <c r="B33" i="102"/>
  <c r="C34" i="102"/>
  <c r="E34" i="102"/>
  <c r="E35" i="102" s="1"/>
  <c r="J35" i="100"/>
  <c r="J36" i="100" s="1"/>
  <c r="B34" i="100"/>
  <c r="H29" i="100"/>
  <c r="E27" i="100"/>
  <c r="B27" i="100"/>
  <c r="K26" i="100"/>
  <c r="J26" i="100"/>
  <c r="H26" i="100"/>
  <c r="G26" i="100"/>
  <c r="K23" i="100"/>
  <c r="I20" i="100"/>
  <c r="G20" i="100"/>
  <c r="E20" i="100"/>
  <c r="C20" i="100"/>
  <c r="I19" i="100"/>
  <c r="G19" i="100"/>
  <c r="E19" i="100"/>
  <c r="C19" i="100"/>
  <c r="I15" i="100"/>
  <c r="E15" i="100"/>
  <c r="C15" i="100"/>
  <c r="L11" i="100"/>
  <c r="M11" i="100" s="1"/>
  <c r="J11" i="100"/>
  <c r="I11" i="100"/>
  <c r="G11" i="100"/>
  <c r="F11" i="100"/>
  <c r="D11" i="100"/>
  <c r="C11" i="100"/>
  <c r="O10" i="100"/>
  <c r="E26" i="100" s="1"/>
  <c r="M10" i="100"/>
  <c r="L10" i="100"/>
  <c r="I10" i="100"/>
  <c r="J10" i="100" s="1"/>
  <c r="G10" i="100"/>
  <c r="D26" i="100" s="1"/>
  <c r="D10" i="100"/>
  <c r="C10" i="100"/>
  <c r="O9" i="100"/>
  <c r="E25" i="100" s="1"/>
  <c r="M9" i="100"/>
  <c r="L9" i="100"/>
  <c r="I9" i="100"/>
  <c r="J9" i="100" s="1"/>
  <c r="G9" i="100"/>
  <c r="F9" i="100"/>
  <c r="D9" i="100"/>
  <c r="C9" i="100"/>
  <c r="O5" i="100"/>
  <c r="M5" i="100"/>
  <c r="L5" i="100"/>
  <c r="G5" i="100"/>
  <c r="F5" i="100"/>
  <c r="O4" i="100"/>
  <c r="E23" i="100" s="1"/>
  <c r="E30" i="100" s="1"/>
  <c r="E33" i="100" s="1"/>
  <c r="M4" i="100"/>
  <c r="L4" i="100"/>
  <c r="L26" i="100"/>
  <c r="D4" i="100"/>
  <c r="C4" i="100"/>
  <c r="D25" i="100" l="1"/>
  <c r="C26" i="100"/>
  <c r="B23" i="100"/>
  <c r="C27" i="100"/>
  <c r="B25" i="100"/>
  <c r="B26" i="100"/>
  <c r="E36" i="102"/>
  <c r="E37" i="102" s="1"/>
  <c r="D36" i="102"/>
  <c r="D37" i="102" s="1"/>
  <c r="F34" i="102"/>
  <c r="B35" i="102"/>
  <c r="F33" i="102"/>
  <c r="C35" i="102"/>
  <c r="C25" i="100"/>
  <c r="E34" i="100"/>
  <c r="E35" i="100" s="1"/>
  <c r="J23" i="100"/>
  <c r="B30" i="100"/>
  <c r="C24" i="100"/>
  <c r="I26" i="100"/>
  <c r="H28" i="100"/>
  <c r="I28" i="100" s="1"/>
  <c r="F4" i="100"/>
  <c r="C23" i="100" s="1"/>
  <c r="C30" i="100" s="1"/>
  <c r="C33" i="100" s="1"/>
  <c r="I23" i="100"/>
  <c r="G4" i="100"/>
  <c r="D23" i="100" s="1"/>
  <c r="D27" i="100"/>
  <c r="D24" i="100"/>
  <c r="E5" i="99"/>
  <c r="G4" i="99"/>
  <c r="J35" i="99"/>
  <c r="J36" i="99" s="1"/>
  <c r="B34" i="99"/>
  <c r="H29" i="99"/>
  <c r="E27" i="99"/>
  <c r="B27" i="99"/>
  <c r="K26" i="99"/>
  <c r="J26" i="99"/>
  <c r="H26" i="99"/>
  <c r="G26" i="99"/>
  <c r="K23" i="99"/>
  <c r="I20" i="99"/>
  <c r="G20" i="99"/>
  <c r="E20" i="99"/>
  <c r="C20" i="99"/>
  <c r="I19" i="99"/>
  <c r="G19" i="99"/>
  <c r="E19" i="99"/>
  <c r="C19" i="99"/>
  <c r="I15" i="99"/>
  <c r="E15" i="99"/>
  <c r="C15" i="99"/>
  <c r="L11" i="99"/>
  <c r="M11" i="99" s="1"/>
  <c r="J11" i="99"/>
  <c r="I11" i="99"/>
  <c r="G11" i="99"/>
  <c r="F11" i="99"/>
  <c r="D11" i="99"/>
  <c r="C11" i="99"/>
  <c r="O10" i="99"/>
  <c r="E26" i="99" s="1"/>
  <c r="M10" i="99"/>
  <c r="L10" i="99"/>
  <c r="I10" i="99"/>
  <c r="J10" i="99" s="1"/>
  <c r="G10" i="99"/>
  <c r="D10" i="99"/>
  <c r="C10" i="99"/>
  <c r="O9" i="99"/>
  <c r="E25" i="99" s="1"/>
  <c r="M9" i="99"/>
  <c r="L9" i="99"/>
  <c r="I9" i="99"/>
  <c r="J9" i="99" s="1"/>
  <c r="G9" i="99"/>
  <c r="F9" i="99"/>
  <c r="D9" i="99"/>
  <c r="C9" i="99"/>
  <c r="O5" i="99"/>
  <c r="M5" i="99"/>
  <c r="L5" i="99"/>
  <c r="F5" i="99"/>
  <c r="G5" i="99"/>
  <c r="O4" i="99"/>
  <c r="E23" i="99" s="1"/>
  <c r="M4" i="99"/>
  <c r="L4" i="99"/>
  <c r="D4" i="99"/>
  <c r="C4" i="99"/>
  <c r="E17" i="98"/>
  <c r="F16" i="98"/>
  <c r="F15" i="98"/>
  <c r="F14" i="98"/>
  <c r="F13" i="98"/>
  <c r="H6" i="98"/>
  <c r="F6" i="98"/>
  <c r="H5" i="98"/>
  <c r="H4" i="98"/>
  <c r="F4" i="98"/>
  <c r="I4" i="98" l="1"/>
  <c r="I7" i="98" s="1"/>
  <c r="H17" i="98" s="1"/>
  <c r="I6" i="98"/>
  <c r="C25" i="99"/>
  <c r="H28" i="99"/>
  <c r="I28" i="99" s="1"/>
  <c r="B23" i="99"/>
  <c r="D26" i="99"/>
  <c r="B25" i="99"/>
  <c r="L26" i="99"/>
  <c r="D25" i="99"/>
  <c r="C26" i="99"/>
  <c r="C27" i="99"/>
  <c r="E30" i="99"/>
  <c r="E33" i="99" s="1"/>
  <c r="E34" i="99" s="1"/>
  <c r="E35" i="99" s="1"/>
  <c r="B26" i="99"/>
  <c r="F17" i="98"/>
  <c r="D24" i="99"/>
  <c r="C36" i="102"/>
  <c r="C37" i="102" s="1"/>
  <c r="F35" i="102"/>
  <c r="B36" i="102"/>
  <c r="E36" i="100"/>
  <c r="E37" i="100" s="1"/>
  <c r="C34" i="100"/>
  <c r="C35" i="100" s="1"/>
  <c r="B33" i="100"/>
  <c r="D30" i="100"/>
  <c r="D33" i="100" s="1"/>
  <c r="D27" i="99"/>
  <c r="J23" i="99"/>
  <c r="D23" i="99"/>
  <c r="C24" i="99"/>
  <c r="I26" i="99"/>
  <c r="F4" i="99"/>
  <c r="C23" i="99" s="1"/>
  <c r="I23" i="99"/>
  <c r="B30" i="99" l="1"/>
  <c r="B33" i="99" s="1"/>
  <c r="C30" i="99"/>
  <c r="H18" i="98"/>
  <c r="D30" i="99"/>
  <c r="D33" i="99" s="1"/>
  <c r="D34" i="99" s="1"/>
  <c r="D35" i="99" s="1"/>
  <c r="F36" i="102"/>
  <c r="B37" i="102"/>
  <c r="F37" i="102" s="1"/>
  <c r="J37" i="102" s="1"/>
  <c r="D34" i="100"/>
  <c r="F34" i="100" s="1"/>
  <c r="C36" i="100"/>
  <c r="C37" i="100" s="1"/>
  <c r="F33" i="100"/>
  <c r="B35" i="100"/>
  <c r="F30" i="100"/>
  <c r="E36" i="99"/>
  <c r="E37" i="99" s="1"/>
  <c r="B35" i="99"/>
  <c r="F30" i="99" l="1"/>
  <c r="C33" i="99"/>
  <c r="F33" i="99" s="1"/>
  <c r="D35" i="100"/>
  <c r="B36" i="100"/>
  <c r="B37" i="100" s="1"/>
  <c r="F35" i="100"/>
  <c r="D36" i="100"/>
  <c r="D37" i="100" s="1"/>
  <c r="B36" i="99"/>
  <c r="D36" i="99"/>
  <c r="D37" i="99" s="1"/>
  <c r="F18" i="96"/>
  <c r="E5" i="95" s="1"/>
  <c r="G5" i="95" s="1"/>
  <c r="D18" i="96"/>
  <c r="E18" i="96" s="1"/>
  <c r="G17" i="96"/>
  <c r="E17" i="96"/>
  <c r="G16" i="96"/>
  <c r="E16" i="96"/>
  <c r="G15" i="96"/>
  <c r="E15" i="96"/>
  <c r="G14" i="96"/>
  <c r="E14" i="96"/>
  <c r="G13" i="96"/>
  <c r="E13" i="96"/>
  <c r="F8" i="96"/>
  <c r="D8" i="96"/>
  <c r="H6" i="96"/>
  <c r="I6" i="96" s="1"/>
  <c r="H5" i="96"/>
  <c r="I5" i="96" s="1"/>
  <c r="E5" i="96"/>
  <c r="H4" i="96"/>
  <c r="G4" i="96"/>
  <c r="G8" i="96" s="1"/>
  <c r="E4" i="96"/>
  <c r="J35" i="95"/>
  <c r="J36" i="95" s="1"/>
  <c r="B34" i="95"/>
  <c r="H29" i="95"/>
  <c r="E27" i="95"/>
  <c r="B27" i="95"/>
  <c r="K26" i="95"/>
  <c r="J26" i="95"/>
  <c r="G26" i="95"/>
  <c r="K23" i="95"/>
  <c r="I20" i="95"/>
  <c r="G20" i="95"/>
  <c r="E20" i="95"/>
  <c r="C20" i="95"/>
  <c r="I19" i="95"/>
  <c r="G19" i="95"/>
  <c r="E19" i="95"/>
  <c r="C19" i="95"/>
  <c r="I15" i="95"/>
  <c r="E15" i="95"/>
  <c r="C15" i="95"/>
  <c r="L11" i="95"/>
  <c r="M11" i="95" s="1"/>
  <c r="J11" i="95"/>
  <c r="I11" i="95"/>
  <c r="G11" i="95"/>
  <c r="F11" i="95"/>
  <c r="D11" i="95"/>
  <c r="C11" i="95"/>
  <c r="O10" i="95"/>
  <c r="E26" i="95" s="1"/>
  <c r="M10" i="95"/>
  <c r="L10" i="95"/>
  <c r="I10" i="95"/>
  <c r="J10" i="95" s="1"/>
  <c r="G10" i="95"/>
  <c r="D10" i="95"/>
  <c r="C10" i="95"/>
  <c r="O9" i="95"/>
  <c r="E25" i="95" s="1"/>
  <c r="M9" i="95"/>
  <c r="L9" i="95"/>
  <c r="I9" i="95"/>
  <c r="J9" i="95" s="1"/>
  <c r="G9" i="95"/>
  <c r="F9" i="95"/>
  <c r="D9" i="95"/>
  <c r="C9" i="95"/>
  <c r="O5" i="95"/>
  <c r="M5" i="95"/>
  <c r="L5" i="95"/>
  <c r="O4" i="95"/>
  <c r="E23" i="95" s="1"/>
  <c r="M4" i="95"/>
  <c r="L4" i="95"/>
  <c r="C34" i="99" l="1"/>
  <c r="F34" i="99" s="1"/>
  <c r="D27" i="95"/>
  <c r="C24" i="95"/>
  <c r="D26" i="95"/>
  <c r="B25" i="95"/>
  <c r="E30" i="95"/>
  <c r="E33" i="95" s="1"/>
  <c r="E8" i="96"/>
  <c r="C25" i="95"/>
  <c r="B23" i="95"/>
  <c r="H8" i="96"/>
  <c r="E4" i="95"/>
  <c r="I26" i="95" s="1"/>
  <c r="B4" i="95"/>
  <c r="G18" i="96"/>
  <c r="C26" i="95"/>
  <c r="B26" i="95"/>
  <c r="C27" i="95"/>
  <c r="F37" i="100"/>
  <c r="J37" i="100" s="1"/>
  <c r="F36" i="100"/>
  <c r="B37" i="99"/>
  <c r="I4" i="96"/>
  <c r="D25" i="95"/>
  <c r="F5" i="95"/>
  <c r="F4" i="95"/>
  <c r="I23" i="95"/>
  <c r="D24" i="95"/>
  <c r="J23" i="95"/>
  <c r="E3" i="94"/>
  <c r="E4" i="94"/>
  <c r="E2" i="94"/>
  <c r="C5" i="94"/>
  <c r="D5" i="94"/>
  <c r="B5" i="94"/>
  <c r="C35" i="99" l="1"/>
  <c r="C36" i="99" s="1"/>
  <c r="F36" i="99" s="1"/>
  <c r="E34" i="95"/>
  <c r="E35" i="95" s="1"/>
  <c r="E36" i="95" s="1"/>
  <c r="E37" i="95" s="1"/>
  <c r="B30" i="95"/>
  <c r="B33" i="95" s="1"/>
  <c r="L26" i="95"/>
  <c r="G4" i="95"/>
  <c r="H28" i="95"/>
  <c r="I28" i="95" s="1"/>
  <c r="I8" i="96"/>
  <c r="I18" i="96" s="1"/>
  <c r="C4" i="95"/>
  <c r="C23" i="95" s="1"/>
  <c r="C30" i="95" s="1"/>
  <c r="C33" i="95" s="1"/>
  <c r="C34" i="95" s="1"/>
  <c r="H26" i="95"/>
  <c r="D4" i="95"/>
  <c r="E5" i="94"/>
  <c r="G4" i="93"/>
  <c r="F35" i="99" l="1"/>
  <c r="D23" i="95"/>
  <c r="D30" i="95" s="1"/>
  <c r="D33" i="95" s="1"/>
  <c r="D34" i="95" s="1"/>
  <c r="D35" i="95" s="1"/>
  <c r="D36" i="95" s="1"/>
  <c r="D37" i="95" s="1"/>
  <c r="C37" i="99"/>
  <c r="F37" i="99" s="1"/>
  <c r="J37" i="99" s="1"/>
  <c r="F30" i="95"/>
  <c r="B35" i="95"/>
  <c r="C35" i="95"/>
  <c r="H4" i="93"/>
  <c r="I4" i="93" s="1"/>
  <c r="F34" i="95" l="1"/>
  <c r="F33" i="95"/>
  <c r="C36" i="95"/>
  <c r="C37" i="95" s="1"/>
  <c r="F35" i="95"/>
  <c r="B36" i="95"/>
  <c r="F36" i="95" s="1"/>
  <c r="E4" i="93"/>
  <c r="B37" i="95" l="1"/>
  <c r="F37" i="95" s="1"/>
  <c r="J37" i="95" s="1"/>
  <c r="E5" i="92"/>
  <c r="F18" i="93"/>
  <c r="D18" i="93"/>
  <c r="E18" i="93" s="1"/>
  <c r="G17" i="93"/>
  <c r="E17" i="93"/>
  <c r="G16" i="93"/>
  <c r="E16" i="93"/>
  <c r="G15" i="93"/>
  <c r="E15" i="93"/>
  <c r="G14" i="93"/>
  <c r="E14" i="93"/>
  <c r="G13" i="93"/>
  <c r="E13" i="93"/>
  <c r="F8" i="93"/>
  <c r="D8" i="93"/>
  <c r="H6" i="93"/>
  <c r="I6" i="93" s="1"/>
  <c r="E6" i="93"/>
  <c r="H5" i="93"/>
  <c r="I5" i="93" s="1"/>
  <c r="E5" i="93"/>
  <c r="G8" i="93"/>
  <c r="J35" i="92"/>
  <c r="J36" i="92" s="1"/>
  <c r="B34" i="92"/>
  <c r="H29" i="92"/>
  <c r="E27" i="92"/>
  <c r="B27" i="92"/>
  <c r="K26" i="92"/>
  <c r="J26" i="92"/>
  <c r="H26" i="92"/>
  <c r="G26" i="92"/>
  <c r="K23" i="92"/>
  <c r="I20" i="92"/>
  <c r="G20" i="92"/>
  <c r="E20" i="92"/>
  <c r="C20" i="92"/>
  <c r="I19" i="92"/>
  <c r="G19" i="92"/>
  <c r="E19" i="92"/>
  <c r="C19" i="92"/>
  <c r="I15" i="92"/>
  <c r="E15" i="92"/>
  <c r="C15" i="92"/>
  <c r="L11" i="92"/>
  <c r="M11" i="92" s="1"/>
  <c r="J11" i="92"/>
  <c r="I11" i="92"/>
  <c r="G11" i="92"/>
  <c r="F11" i="92"/>
  <c r="D11" i="92"/>
  <c r="C11" i="92"/>
  <c r="O10" i="92"/>
  <c r="E26" i="92" s="1"/>
  <c r="M10" i="92"/>
  <c r="L10" i="92"/>
  <c r="I10" i="92"/>
  <c r="J10" i="92" s="1"/>
  <c r="G10" i="92"/>
  <c r="D10" i="92"/>
  <c r="C10" i="92"/>
  <c r="O9" i="92"/>
  <c r="E25" i="92" s="1"/>
  <c r="M9" i="92"/>
  <c r="L9" i="92"/>
  <c r="I9" i="92"/>
  <c r="J9" i="92" s="1"/>
  <c r="G9" i="92"/>
  <c r="F9" i="92"/>
  <c r="D9" i="92"/>
  <c r="C9" i="92"/>
  <c r="O5" i="92"/>
  <c r="M5" i="92"/>
  <c r="L5" i="92"/>
  <c r="F5" i="92"/>
  <c r="G5" i="92"/>
  <c r="B5" i="92"/>
  <c r="O4" i="92"/>
  <c r="E23" i="92" s="1"/>
  <c r="M4" i="92"/>
  <c r="L4" i="92"/>
  <c r="D4" i="92"/>
  <c r="C4" i="92"/>
  <c r="D24" i="92" l="1"/>
  <c r="D25" i="92"/>
  <c r="C27" i="92"/>
  <c r="G18" i="93"/>
  <c r="D26" i="92"/>
  <c r="C25" i="92"/>
  <c r="E30" i="92"/>
  <c r="E33" i="92" s="1"/>
  <c r="E34" i="92" s="1"/>
  <c r="E35" i="92" s="1"/>
  <c r="B23" i="92"/>
  <c r="B25" i="92"/>
  <c r="B26" i="92"/>
  <c r="C26" i="92"/>
  <c r="E8" i="93"/>
  <c r="H8" i="93"/>
  <c r="E4" i="92" s="1"/>
  <c r="I8" i="93"/>
  <c r="D27" i="92"/>
  <c r="J23" i="92"/>
  <c r="C24" i="92"/>
  <c r="F4" i="92"/>
  <c r="C23" i="92" s="1"/>
  <c r="I23" i="92"/>
  <c r="I18" i="93" l="1"/>
  <c r="C30" i="92"/>
  <c r="G4" i="92"/>
  <c r="D23" i="92" s="1"/>
  <c r="D30" i="92" s="1"/>
  <c r="L26" i="92"/>
  <c r="I26" i="92"/>
  <c r="B30" i="92"/>
  <c r="B33" i="92" s="1"/>
  <c r="B35" i="92" s="1"/>
  <c r="H28" i="92"/>
  <c r="I28" i="92" s="1"/>
  <c r="C33" i="92"/>
  <c r="E36" i="92"/>
  <c r="E37" i="92" s="1"/>
  <c r="D33" i="92" l="1"/>
  <c r="D34" i="92" s="1"/>
  <c r="D35" i="92" s="1"/>
  <c r="F33" i="92"/>
  <c r="F30" i="92"/>
  <c r="D36" i="92"/>
  <c r="D37" i="92" s="1"/>
  <c r="B36" i="92"/>
  <c r="B37" i="92" s="1"/>
  <c r="C34" i="92"/>
  <c r="F34" i="92" s="1"/>
  <c r="C35" i="92" l="1"/>
  <c r="C36" i="92" l="1"/>
  <c r="F36" i="92" s="1"/>
  <c r="F35" i="92"/>
  <c r="C37" i="92" l="1"/>
  <c r="F37" i="92" s="1"/>
  <c r="J37" i="92" s="1"/>
  <c r="J35" i="4" l="1"/>
  <c r="B34" i="4"/>
  <c r="H29" i="4"/>
  <c r="H28" i="4"/>
  <c r="E27" i="4"/>
  <c r="B27" i="4"/>
  <c r="L26" i="4"/>
  <c r="K26" i="4"/>
  <c r="J26" i="4"/>
  <c r="I26" i="4"/>
  <c r="H26" i="4"/>
  <c r="G26" i="4"/>
  <c r="K23" i="4"/>
  <c r="I20" i="4"/>
  <c r="G20" i="4"/>
  <c r="E20" i="4"/>
  <c r="C20" i="4"/>
  <c r="I19" i="4"/>
  <c r="G19" i="4"/>
  <c r="E19" i="4"/>
  <c r="C19" i="4"/>
  <c r="I15" i="4"/>
  <c r="G15" i="4"/>
  <c r="E15" i="4"/>
  <c r="C15" i="4"/>
  <c r="M11" i="4"/>
  <c r="L11" i="4"/>
  <c r="J11" i="4"/>
  <c r="I11" i="4"/>
  <c r="G11" i="4"/>
  <c r="F11" i="4"/>
  <c r="D11" i="4"/>
  <c r="C11" i="4"/>
  <c r="O10" i="4"/>
  <c r="E26" i="4" s="1"/>
  <c r="M10" i="4"/>
  <c r="L10" i="4"/>
  <c r="J10" i="4"/>
  <c r="I10" i="4"/>
  <c r="G10" i="4"/>
  <c r="F10" i="4"/>
  <c r="D10" i="4"/>
  <c r="C10" i="4"/>
  <c r="O9" i="4"/>
  <c r="E25" i="4" s="1"/>
  <c r="M9" i="4"/>
  <c r="L9" i="4"/>
  <c r="J9" i="4"/>
  <c r="I9" i="4"/>
  <c r="G9" i="4"/>
  <c r="F9" i="4"/>
  <c r="D9" i="4"/>
  <c r="C9" i="4"/>
  <c r="O5" i="4"/>
  <c r="M5" i="4"/>
  <c r="L5" i="4"/>
  <c r="J5" i="4"/>
  <c r="I5" i="4"/>
  <c r="G5" i="4"/>
  <c r="F5" i="4"/>
  <c r="D5" i="4"/>
  <c r="C5" i="4"/>
  <c r="O4" i="4"/>
  <c r="E23" i="4" s="1"/>
  <c r="M4" i="4"/>
  <c r="L4" i="4"/>
  <c r="J4" i="4"/>
  <c r="I4" i="4"/>
  <c r="G4" i="4"/>
  <c r="F4" i="4"/>
  <c r="D4" i="4"/>
  <c r="C4" i="4"/>
  <c r="J35" i="3"/>
  <c r="B34" i="3"/>
  <c r="H29" i="3"/>
  <c r="H28" i="3"/>
  <c r="E27" i="3"/>
  <c r="B27" i="3"/>
  <c r="L26" i="3"/>
  <c r="K26" i="3"/>
  <c r="J26" i="3"/>
  <c r="I26" i="3"/>
  <c r="H26" i="3"/>
  <c r="G26" i="3"/>
  <c r="K23" i="3"/>
  <c r="I20" i="3"/>
  <c r="G20" i="3"/>
  <c r="E20" i="3"/>
  <c r="C20" i="3"/>
  <c r="I19" i="3"/>
  <c r="G19" i="3"/>
  <c r="E19" i="3"/>
  <c r="C19" i="3"/>
  <c r="I15" i="3"/>
  <c r="G15" i="3"/>
  <c r="E15" i="3"/>
  <c r="C15" i="3"/>
  <c r="M11" i="3"/>
  <c r="L11" i="3"/>
  <c r="J11" i="3"/>
  <c r="I11" i="3"/>
  <c r="G11" i="3"/>
  <c r="F11" i="3"/>
  <c r="D11" i="3"/>
  <c r="C11" i="3"/>
  <c r="O10" i="3"/>
  <c r="E26" i="3"/>
  <c r="M10" i="3"/>
  <c r="L10" i="3"/>
  <c r="J10" i="3"/>
  <c r="I10" i="3"/>
  <c r="G10" i="3"/>
  <c r="F10" i="3"/>
  <c r="D10" i="3"/>
  <c r="C10" i="3"/>
  <c r="C26" i="3" s="1"/>
  <c r="O9" i="3"/>
  <c r="E25" i="3" s="1"/>
  <c r="M9" i="3"/>
  <c r="L9" i="3"/>
  <c r="J9" i="3"/>
  <c r="I9" i="3"/>
  <c r="G9" i="3"/>
  <c r="F9" i="3"/>
  <c r="D9" i="3"/>
  <c r="D25" i="3" s="1"/>
  <c r="C9" i="3"/>
  <c r="O5" i="3"/>
  <c r="M5" i="3"/>
  <c r="L5" i="3"/>
  <c r="J5" i="3"/>
  <c r="I5" i="3"/>
  <c r="G5" i="3"/>
  <c r="F5" i="3"/>
  <c r="D5" i="3"/>
  <c r="C5" i="3"/>
  <c r="O4" i="3"/>
  <c r="E23" i="3" s="1"/>
  <c r="M4" i="3"/>
  <c r="L4" i="3"/>
  <c r="J4" i="3"/>
  <c r="I4" i="3"/>
  <c r="G4" i="3"/>
  <c r="F4" i="3"/>
  <c r="D4" i="3"/>
  <c r="C4" i="3"/>
  <c r="D26" i="3" l="1"/>
  <c r="D27" i="3"/>
  <c r="C25" i="4"/>
  <c r="D26" i="4"/>
  <c r="I23" i="4"/>
  <c r="J23" i="3"/>
  <c r="C27" i="4"/>
  <c r="D24" i="3"/>
  <c r="D23" i="3"/>
  <c r="C25" i="3"/>
  <c r="C27" i="3"/>
  <c r="B23" i="3"/>
  <c r="B25" i="3"/>
  <c r="B26" i="3"/>
  <c r="C26" i="4"/>
  <c r="D25" i="4"/>
  <c r="B23" i="4"/>
  <c r="E30" i="3"/>
  <c r="E33" i="3" s="1"/>
  <c r="E34" i="3" s="1"/>
  <c r="C24" i="4"/>
  <c r="C23" i="4"/>
  <c r="D24" i="4"/>
  <c r="B25" i="4"/>
  <c r="B26" i="4"/>
  <c r="C23" i="3"/>
  <c r="E30" i="4"/>
  <c r="E33" i="4" s="1"/>
  <c r="E34" i="4" s="1"/>
  <c r="E35" i="4" s="1"/>
  <c r="J23" i="4"/>
  <c r="D27" i="4"/>
  <c r="I23" i="3"/>
  <c r="D23" i="4"/>
  <c r="C24" i="3"/>
  <c r="D30" i="3" l="1"/>
  <c r="C30" i="4"/>
  <c r="C33" i="4" s="1"/>
  <c r="C34" i="4" s="1"/>
  <c r="B30" i="3"/>
  <c r="B33" i="3" s="1"/>
  <c r="B35" i="3" s="1"/>
  <c r="C30" i="3"/>
  <c r="C33" i="3" s="1"/>
  <c r="C34" i="3" s="1"/>
  <c r="E35" i="3"/>
  <c r="D30" i="4"/>
  <c r="D33" i="4" s="1"/>
  <c r="B30" i="4"/>
  <c r="E36" i="4"/>
  <c r="E37" i="4" s="1"/>
  <c r="E36" i="3"/>
  <c r="E37" i="3" s="1"/>
  <c r="C35" i="4" l="1"/>
  <c r="C36" i="4" s="1"/>
  <c r="D33" i="3"/>
  <c r="F33" i="3" s="1"/>
  <c r="D34" i="4"/>
  <c r="F34" i="4" s="1"/>
  <c r="B33" i="4"/>
  <c r="B36" i="3"/>
  <c r="B37" i="3" s="1"/>
  <c r="C35" i="3"/>
  <c r="C37" i="4" l="1"/>
  <c r="D34" i="3"/>
  <c r="D35" i="3" s="1"/>
  <c r="D35" i="4"/>
  <c r="D36" i="4" s="1"/>
  <c r="D37" i="4" s="1"/>
  <c r="B35" i="4"/>
  <c r="F33" i="4"/>
  <c r="F34" i="3"/>
  <c r="D36" i="3"/>
  <c r="D37" i="3" s="1"/>
  <c r="F35" i="3"/>
  <c r="C36" i="3"/>
  <c r="C37" i="3" s="1"/>
  <c r="F37" i="3" s="1"/>
  <c r="F35" i="4" l="1"/>
  <c r="B36" i="4"/>
  <c r="F36" i="3"/>
  <c r="F36" i="4" l="1"/>
  <c r="B37" i="4"/>
  <c r="F37" i="4" s="1"/>
</calcChain>
</file>

<file path=xl/sharedStrings.xml><?xml version="1.0" encoding="utf-8"?>
<sst xmlns="http://schemas.openxmlformats.org/spreadsheetml/2006/main" count="1804" uniqueCount="116">
  <si>
    <t>SALES</t>
  </si>
  <si>
    <t>OUTWARD SUPPLY</t>
  </si>
  <si>
    <t>CESS</t>
  </si>
  <si>
    <t>SGST</t>
  </si>
  <si>
    <t>CGST</t>
  </si>
  <si>
    <t>AMT</t>
  </si>
  <si>
    <t>INWARD SUPPLY</t>
  </si>
  <si>
    <t>PURCHASES</t>
  </si>
  <si>
    <t>IGST OUTWARD SUPPLY</t>
  </si>
  <si>
    <t>IGST</t>
  </si>
  <si>
    <t>IGST INWARD SUPPLY</t>
  </si>
  <si>
    <t>PURCHASE</t>
  </si>
  <si>
    <t>EXEMPT SALES</t>
  </si>
  <si>
    <t>AMOUNT</t>
  </si>
  <si>
    <t>EXEMPT PURCHASE</t>
  </si>
  <si>
    <t>PARTICULARS</t>
  </si>
  <si>
    <t>GST COLLECTED</t>
  </si>
  <si>
    <t>NET PAYABLE/REFUND</t>
  </si>
  <si>
    <t>FINAL AMOUNT PAYABLE</t>
  </si>
  <si>
    <t>TOTAL</t>
  </si>
  <si>
    <t>RCM</t>
  </si>
  <si>
    <t>GST EXPENSES</t>
  </si>
  <si>
    <t>ITC CREDIT ON PURCHASES</t>
  </si>
  <si>
    <t>ITC CREDIT ON EXPENSES</t>
  </si>
  <si>
    <t>ITC CREDIT ON RCM</t>
  </si>
  <si>
    <t>RCM PAYABLE</t>
  </si>
  <si>
    <t>RCM FINAL PAYABLE</t>
  </si>
  <si>
    <t>TOTAL PAYABLE</t>
  </si>
  <si>
    <t>Due Date</t>
  </si>
  <si>
    <t>Payment</t>
  </si>
  <si>
    <t>Delayed Days</t>
  </si>
  <si>
    <t>INTEREST PAYABLE</t>
  </si>
  <si>
    <t>GST</t>
  </si>
  <si>
    <t>PREVIOUS CASH BAL</t>
  </si>
  <si>
    <t>NON GST SALES</t>
  </si>
  <si>
    <t>TOTAL CHALLAN PAYABLE</t>
  </si>
  <si>
    <t>OVERALL</t>
  </si>
  <si>
    <t>OTHER RECEIPT</t>
  </si>
  <si>
    <t>TOTAL SALES</t>
  </si>
  <si>
    <t>TOTAL PURCHASE</t>
  </si>
  <si>
    <t>NON GST PURCHASES/URD</t>
  </si>
  <si>
    <t>L Y YR GP</t>
  </si>
  <si>
    <t>TAX FREE</t>
  </si>
  <si>
    <t>M/S XYZ ENTERPRISES GST CALCULATION FOR THE MONTH OF OCT 2017</t>
  </si>
  <si>
    <t>PREV CR LEDGER BAL</t>
  </si>
  <si>
    <t>TAXABLE</t>
  </si>
  <si>
    <t>PURCHASE- AUG.22</t>
  </si>
  <si>
    <t>PURCHASES AUG.22</t>
  </si>
  <si>
    <t>REVERSE</t>
  </si>
  <si>
    <t>1% GST</t>
  </si>
  <si>
    <t>DATE</t>
  </si>
  <si>
    <t xml:space="preserve">NAME </t>
  </si>
  <si>
    <t>ADVANCE</t>
  </si>
  <si>
    <t>(NOTE: IF AGREEMENT VALUE CROSS MORE THAN 45,00,000 THEN GST 5% APPLY)</t>
  </si>
  <si>
    <t>FLAT NO.</t>
  </si>
  <si>
    <t>AGREEMENT DONE</t>
  </si>
  <si>
    <t>AGREEMENT AMOUNT</t>
  </si>
  <si>
    <t>ADVANCES AMOUNT</t>
  </si>
  <si>
    <t>REVERSE GST ON ADVANCE</t>
  </si>
  <si>
    <t>OUTSTANDINGN AMOUNT</t>
  </si>
  <si>
    <t>OUTSTANDING GST</t>
  </si>
  <si>
    <t>CALCULATION ON ADVANCES</t>
  </si>
  <si>
    <t>FLAT NO</t>
  </si>
  <si>
    <t xml:space="preserve">SALES </t>
  </si>
  <si>
    <t>5% GST</t>
  </si>
  <si>
    <t>ADVANCE AMOUNT 1 %</t>
  </si>
  <si>
    <t>ADVANCE AMOUNT 5%</t>
  </si>
  <si>
    <t>LATE FESS</t>
  </si>
  <si>
    <t xml:space="preserve"> </t>
  </si>
  <si>
    <t>MARCH 2025 GST CALCULATION</t>
  </si>
  <si>
    <t>SPACE HOME GST CALCULATION FOR THE MONTH OF APRIL 2025</t>
  </si>
  <si>
    <t>PRAJAKTA &amp; SAGAR VARTAK</t>
  </si>
  <si>
    <t>LUCAS CASTELLINO</t>
  </si>
  <si>
    <t>ITC</t>
  </si>
  <si>
    <t>CASH LEDGER</t>
  </si>
  <si>
    <t>PAYABLE</t>
  </si>
  <si>
    <t>SHWETA FERNANDES</t>
  </si>
  <si>
    <t>IRWIN KENNATH KARKADA</t>
  </si>
  <si>
    <t>AMEYA TOWNHOMES PVT.LTD (Landowner)</t>
  </si>
  <si>
    <t>MAY 2025 GST CALCULATION</t>
  </si>
  <si>
    <t xml:space="preserve"> GST CALCULATION</t>
  </si>
  <si>
    <t>SR.NO.</t>
  </si>
  <si>
    <t>AMOUNT PAID</t>
  </si>
  <si>
    <t>KAMLESH DANGI</t>
  </si>
  <si>
    <t>ADVANCE AMOUNT</t>
  </si>
  <si>
    <t>GLASTON DSOUZA</t>
  </si>
  <si>
    <t>SPACE HOME GST CALCULATION FOR THE MONTH OF JULY 2025</t>
  </si>
  <si>
    <t>ANJALI VISHWAKARMA</t>
  </si>
  <si>
    <t>SPACE HOME GST CALCULATION FOR THE MONTH OF AUGUST 2025</t>
  </si>
  <si>
    <t>SHRUTIKA PATIL</t>
  </si>
  <si>
    <t>RAJEEV DESAI</t>
  </si>
  <si>
    <t>SPACE HOME GST CALCULATION FOR THE MONTH OF SEPTEMBER 2025</t>
  </si>
  <si>
    <t>MICHAEL NUNES</t>
  </si>
  <si>
    <t>SPACE HOME GST CALCULATION FOR THE MONTH OF OCTOBER 2025</t>
  </si>
  <si>
    <t>SHAKTIGANESH DANDE</t>
  </si>
  <si>
    <t>FLAT NO.1605 CANCELLED in Nov month</t>
  </si>
  <si>
    <t>Shrutika Patil</t>
  </si>
  <si>
    <t>995411 HSN code</t>
  </si>
  <si>
    <t>SPACE HOME GST CALCULATION FOR THE MONTH OF NOVEMBER 2025</t>
  </si>
  <si>
    <t>ABHAY KAMLAKAR PATIL</t>
  </si>
  <si>
    <t>FLAT NO.1605 CANCELLED</t>
  </si>
  <si>
    <t>Shrutika patil canelled</t>
  </si>
  <si>
    <t>SPACE HOME GST CALCULATION FOR THE MONTH OF DECEMBER 2025</t>
  </si>
  <si>
    <t>CHHAYA KADAM</t>
  </si>
  <si>
    <t>LEENA PAWAR</t>
  </si>
  <si>
    <t>SPACE HOME GST CALCULATION FOR THE MONTH OF JANUARY 2026</t>
  </si>
  <si>
    <t>PARIKSHIT RANA</t>
  </si>
  <si>
    <t>ALOK PRABHAKAR</t>
  </si>
  <si>
    <t>ABHAY PATIL</t>
  </si>
  <si>
    <t>ANKUSH GHARAT</t>
  </si>
  <si>
    <t>VILAS CHAVAN</t>
  </si>
  <si>
    <t>DATTATRAY HEGDE</t>
  </si>
  <si>
    <t>SPACE HOME GST CALCULATION FOR THE MONTH OF FEBRUARY 2026</t>
  </si>
  <si>
    <t>SPACE HOME GST CALCULATION FOR THE MONTH OF MARCH 2026</t>
  </si>
  <si>
    <t>KHATUSHYAM CONSTRUCTION</t>
  </si>
  <si>
    <t>Note: in june month Flat no 106, kamlesh dangi we have taken agreement amt 75,00,000 and GSt paid 3,75,000 (5%) but not deducted advance amt received in 22-23 Rs.35,00,000 so This amendment done in April 26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</si>
</sst>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9" fontId="2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165" fontId="3" fillId="0" borderId="1" xfId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9" fontId="2" fillId="0" borderId="0" xfId="0" applyNumberFormat="1" applyFont="1" applyAlignment="1" applyProtection="1">
      <alignment horizontal="center"/>
      <protection locked="0"/>
    </xf>
    <xf numFmtId="0" fontId="2" fillId="3" borderId="1" xfId="0" applyFont="1" applyFill="1" applyBorder="1" applyProtection="1">
      <protection hidden="1"/>
    </xf>
    <xf numFmtId="0" fontId="3" fillId="3" borderId="1" xfId="0" applyFont="1" applyFill="1" applyBorder="1" applyProtection="1">
      <protection hidden="1"/>
    </xf>
    <xf numFmtId="165" fontId="3" fillId="3" borderId="1" xfId="1" applyFont="1" applyFill="1" applyBorder="1" applyProtection="1">
      <protection hidden="1"/>
    </xf>
    <xf numFmtId="0" fontId="3" fillId="4" borderId="1" xfId="0" applyFont="1" applyFill="1" applyBorder="1" applyProtection="1">
      <protection locked="0"/>
    </xf>
    <xf numFmtId="165" fontId="3" fillId="4" borderId="1" xfId="1" applyFont="1" applyFill="1" applyBorder="1" applyProtection="1">
      <protection locked="0"/>
    </xf>
    <xf numFmtId="14" fontId="3" fillId="0" borderId="1" xfId="0" applyNumberFormat="1" applyFont="1" applyBorder="1" applyProtection="1">
      <protection locked="0"/>
    </xf>
    <xf numFmtId="14" fontId="3" fillId="0" borderId="0" xfId="0" applyNumberFormat="1" applyFont="1" applyProtection="1">
      <protection locked="0"/>
    </xf>
    <xf numFmtId="2" fontId="3" fillId="0" borderId="1" xfId="0" applyNumberFormat="1" applyFont="1" applyBorder="1" applyProtection="1">
      <protection locked="0"/>
    </xf>
    <xf numFmtId="2" fontId="3" fillId="0" borderId="0" xfId="0" applyNumberFormat="1" applyFont="1" applyProtection="1">
      <protection locked="0"/>
    </xf>
    <xf numFmtId="165" fontId="3" fillId="3" borderId="1" xfId="0" applyNumberFormat="1" applyFont="1" applyFill="1" applyBorder="1" applyProtection="1">
      <protection hidden="1"/>
    </xf>
    <xf numFmtId="0" fontId="3" fillId="3" borderId="0" xfId="0" applyFont="1" applyFill="1" applyProtection="1">
      <protection hidden="1"/>
    </xf>
    <xf numFmtId="0" fontId="3" fillId="3" borderId="2" xfId="0" applyFont="1" applyFill="1" applyBorder="1" applyProtection="1">
      <protection hidden="1"/>
    </xf>
    <xf numFmtId="0" fontId="3" fillId="3" borderId="1" xfId="0" applyFont="1" applyFill="1" applyBorder="1" applyProtection="1">
      <protection locked="0"/>
    </xf>
    <xf numFmtId="165" fontId="0" fillId="2" borderId="1" xfId="1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hidden="1"/>
    </xf>
    <xf numFmtId="9" fontId="2" fillId="3" borderId="1" xfId="0" applyNumberFormat="1" applyFont="1" applyFill="1" applyBorder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3" fillId="2" borderId="1" xfId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2" fontId="3" fillId="0" borderId="1" xfId="0" applyNumberFormat="1" applyFont="1" applyBorder="1" applyAlignment="1" applyProtection="1">
      <alignment horizontal="center"/>
      <protection locked="0"/>
    </xf>
    <xf numFmtId="43" fontId="3" fillId="3" borderId="1" xfId="0" applyNumberFormat="1" applyFont="1" applyFill="1" applyBorder="1" applyProtection="1">
      <protection locked="0"/>
    </xf>
    <xf numFmtId="165" fontId="3" fillId="0" borderId="0" xfId="0" applyNumberFormat="1" applyFont="1" applyProtection="1">
      <protection locked="0"/>
    </xf>
    <xf numFmtId="0" fontId="0" fillId="0" borderId="1" xfId="0" applyBorder="1"/>
    <xf numFmtId="49" fontId="5" fillId="0" borderId="1" xfId="0" applyNumberFormat="1" applyFont="1" applyBorder="1" applyAlignment="1">
      <alignment vertical="top"/>
    </xf>
    <xf numFmtId="0" fontId="4" fillId="0" borderId="1" xfId="0" applyFont="1" applyBorder="1"/>
    <xf numFmtId="43" fontId="3" fillId="0" borderId="2" xfId="0" applyNumberFormat="1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3" borderId="1" xfId="0" applyFont="1" applyFill="1" applyBorder="1"/>
    <xf numFmtId="165" fontId="0" fillId="0" borderId="1" xfId="1" applyFont="1" applyBorder="1"/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65" fontId="0" fillId="0" borderId="1" xfId="1" applyFont="1" applyFill="1" applyBorder="1"/>
    <xf numFmtId="165" fontId="4" fillId="0" borderId="1" xfId="1" applyFont="1" applyBorder="1"/>
    <xf numFmtId="49" fontId="7" fillId="0" borderId="1" xfId="0" applyNumberFormat="1" applyFont="1" applyBorder="1" applyAlignment="1">
      <alignment vertical="top"/>
    </xf>
    <xf numFmtId="0" fontId="0" fillId="0" borderId="0" xfId="0" applyAlignment="1">
      <alignment horizontal="left"/>
    </xf>
    <xf numFmtId="14" fontId="0" fillId="0" borderId="1" xfId="0" applyNumberFormat="1" applyBorder="1"/>
    <xf numFmtId="49" fontId="6" fillId="0" borderId="1" xfId="0" applyNumberFormat="1" applyFont="1" applyBorder="1" applyAlignment="1">
      <alignment vertical="top"/>
    </xf>
    <xf numFmtId="14" fontId="4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10" fillId="0" borderId="1" xfId="0" applyFont="1" applyBorder="1" applyAlignment="1">
      <alignment vertical="center"/>
    </xf>
    <xf numFmtId="0" fontId="12" fillId="0" borderId="0" xfId="0" applyFont="1"/>
    <xf numFmtId="9" fontId="12" fillId="0" borderId="0" xfId="0" applyNumberFormat="1" applyFont="1"/>
    <xf numFmtId="0" fontId="1" fillId="0" borderId="1" xfId="0" applyFont="1" applyBorder="1"/>
    <xf numFmtId="0" fontId="13" fillId="2" borderId="0" xfId="0" applyFont="1" applyFill="1" applyAlignment="1">
      <alignment horizontal="right"/>
    </xf>
    <xf numFmtId="43" fontId="13" fillId="2" borderId="0" xfId="0" applyNumberFormat="1" applyFont="1" applyFill="1"/>
    <xf numFmtId="165" fontId="4" fillId="3" borderId="1" xfId="1" applyFont="1" applyFill="1" applyBorder="1"/>
    <xf numFmtId="0" fontId="1" fillId="0" borderId="0" xfId="0" applyFont="1"/>
    <xf numFmtId="43" fontId="0" fillId="0" borderId="0" xfId="2" applyFont="1"/>
    <xf numFmtId="0" fontId="2" fillId="0" borderId="0" xfId="0" applyFont="1"/>
    <xf numFmtId="49" fontId="6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2" fontId="0" fillId="0" borderId="0" xfId="0" applyNumberFormat="1"/>
    <xf numFmtId="166" fontId="0" fillId="0" borderId="0" xfId="2" applyNumberFormat="1" applyFont="1"/>
    <xf numFmtId="166" fontId="0" fillId="0" borderId="6" xfId="0" applyNumberFormat="1" applyBorder="1"/>
    <xf numFmtId="166" fontId="0" fillId="0" borderId="0" xfId="0" applyNumberFormat="1"/>
    <xf numFmtId="166" fontId="2" fillId="0" borderId="0" xfId="2" applyNumberFormat="1" applyFont="1"/>
    <xf numFmtId="43" fontId="2" fillId="0" borderId="0" xfId="2" applyFont="1"/>
    <xf numFmtId="166" fontId="4" fillId="0" borderId="0" xfId="2" applyNumberFormat="1" applyFont="1"/>
    <xf numFmtId="43" fontId="4" fillId="0" borderId="0" xfId="2" applyFont="1"/>
    <xf numFmtId="166" fontId="1" fillId="0" borderId="0" xfId="2" applyNumberFormat="1" applyFont="1"/>
    <xf numFmtId="43" fontId="1" fillId="0" borderId="0" xfId="2" applyFont="1"/>
    <xf numFmtId="43" fontId="0" fillId="0" borderId="6" xfId="2" applyFont="1" applyBorder="1"/>
    <xf numFmtId="0" fontId="4" fillId="3" borderId="0" xfId="0" applyFont="1" applyFill="1"/>
    <xf numFmtId="43" fontId="0" fillId="0" borderId="0" xfId="2" applyFont="1" applyFill="1"/>
    <xf numFmtId="14" fontId="0" fillId="0" borderId="0" xfId="0" applyNumberFormat="1"/>
    <xf numFmtId="164" fontId="0" fillId="0" borderId="0" xfId="0" applyNumberFormat="1"/>
    <xf numFmtId="165" fontId="0" fillId="0" borderId="0" xfId="1" applyFont="1"/>
    <xf numFmtId="164" fontId="4" fillId="0" borderId="0" xfId="0" applyNumberFormat="1" applyFont="1"/>
    <xf numFmtId="43" fontId="0" fillId="0" borderId="0" xfId="0" applyNumberFormat="1"/>
    <xf numFmtId="0" fontId="14" fillId="0" borderId="0" xfId="0" applyFont="1"/>
    <xf numFmtId="165" fontId="4" fillId="0" borderId="0" xfId="1" applyFont="1"/>
    <xf numFmtId="0" fontId="0" fillId="3" borderId="0" xfId="0" applyFill="1"/>
    <xf numFmtId="0" fontId="8" fillId="3" borderId="0" xfId="0" applyFont="1" applyFill="1"/>
    <xf numFmtId="43" fontId="0" fillId="3" borderId="0" xfId="2" applyFont="1" applyFill="1"/>
    <xf numFmtId="9" fontId="2" fillId="2" borderId="1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165" fontId="3" fillId="2" borderId="1" xfId="1" applyFont="1" applyFill="1" applyBorder="1" applyAlignment="1" applyProtection="1">
      <alignment horizontal="center"/>
      <protection locked="0"/>
    </xf>
    <xf numFmtId="9" fontId="2" fillId="2" borderId="2" xfId="0" applyNumberFormat="1" applyFont="1" applyFill="1" applyBorder="1" applyAlignment="1" applyProtection="1">
      <alignment horizontal="center"/>
      <protection locked="0"/>
    </xf>
    <xf numFmtId="9" fontId="2" fillId="2" borderId="3" xfId="0" applyNumberFormat="1" applyFont="1" applyFill="1" applyBorder="1" applyAlignment="1" applyProtection="1">
      <alignment horizontal="center"/>
      <protection locked="0"/>
    </xf>
    <xf numFmtId="10" fontId="2" fillId="0" borderId="1" xfId="0" applyNumberFormat="1" applyFont="1" applyBorder="1" applyAlignment="1" applyProtection="1">
      <alignment horizontal="center"/>
      <protection locked="0"/>
    </xf>
    <xf numFmtId="10" fontId="2" fillId="0" borderId="2" xfId="0" applyNumberFormat="1" applyFont="1" applyBorder="1" applyAlignment="1" applyProtection="1">
      <alignment horizontal="center"/>
      <protection locked="0"/>
    </xf>
    <xf numFmtId="10" fontId="2" fillId="0" borderId="4" xfId="0" applyNumberFormat="1" applyFont="1" applyBorder="1" applyAlignment="1" applyProtection="1">
      <alignment horizontal="center"/>
      <protection locked="0"/>
    </xf>
    <xf numFmtId="10" fontId="2" fillId="0" borderId="3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colors>
    <mruColors>
      <color rgb="FF86F7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view="pageBreakPreview" topLeftCell="A17" zoomScale="80" zoomScaleNormal="130" zoomScaleSheetLayoutView="80" workbookViewId="0">
      <selection activeCell="B28" sqref="B28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43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0.05</v>
      </c>
      <c r="C2" s="102"/>
      <c r="D2" s="103"/>
      <c r="E2" s="101">
        <v>0.12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0</v>
      </c>
      <c r="B4" s="34">
        <v>0</v>
      </c>
      <c r="C4" s="7">
        <f>B4*B2/2</f>
        <v>0</v>
      </c>
      <c r="D4" s="7">
        <f>B4*B2/2</f>
        <v>0</v>
      </c>
      <c r="E4" s="34"/>
      <c r="F4" s="7">
        <f>E4*E2/2</f>
        <v>0</v>
      </c>
      <c r="G4" s="7">
        <f>E4*E2/2</f>
        <v>0</v>
      </c>
      <c r="H4" s="28">
        <v>761000</v>
      </c>
      <c r="I4" s="7">
        <f>H4*H2/2</f>
        <v>68490</v>
      </c>
      <c r="J4" s="7">
        <f>H4*H2/2</f>
        <v>68490</v>
      </c>
      <c r="K4" s="34"/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37</v>
      </c>
      <c r="B5" s="34"/>
      <c r="C5" s="7">
        <f>B5*B2/2</f>
        <v>0</v>
      </c>
      <c r="D5" s="7">
        <f>B5*B2/2</f>
        <v>0</v>
      </c>
      <c r="E5" s="34"/>
      <c r="F5" s="7">
        <f>E5*E2/2</f>
        <v>0</v>
      </c>
      <c r="G5" s="7">
        <f>E5*E2/2</f>
        <v>0</v>
      </c>
      <c r="H5" s="34"/>
      <c r="I5" s="7">
        <f>H5*H2/2</f>
        <v>0</v>
      </c>
      <c r="J5" s="7">
        <f>H5*H2/2</f>
        <v>0</v>
      </c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10"/>
      <c r="C6" s="11"/>
      <c r="D6" s="12"/>
      <c r="E6" s="10"/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H9*H7/2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21</v>
      </c>
      <c r="B10" s="34"/>
      <c r="C10" s="7">
        <f>B10*B7/2</f>
        <v>0</v>
      </c>
      <c r="D10" s="7">
        <f>B10*B7/2</f>
        <v>0</v>
      </c>
      <c r="E10" s="34">
        <v>0</v>
      </c>
      <c r="F10" s="7">
        <f>E10*E7/2</f>
        <v>0</v>
      </c>
      <c r="G10" s="7">
        <f>E10*E7/2</f>
        <v>0</v>
      </c>
      <c r="H10" s="34"/>
      <c r="I10" s="7">
        <f>H10*H7/2</f>
        <v>0</v>
      </c>
      <c r="J10" s="7">
        <f>H10*H7/2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K11*K7/2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>
        <v>500000</v>
      </c>
      <c r="G15" s="7">
        <f>F15*F13</f>
        <v>90000</v>
      </c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11</v>
      </c>
      <c r="B19" s="34"/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21</v>
      </c>
      <c r="B20" s="34"/>
      <c r="C20" s="7">
        <f>B20*B17</f>
        <v>0</v>
      </c>
      <c r="D20" s="34"/>
      <c r="E20" s="7">
        <f>D20*D17</f>
        <v>0</v>
      </c>
      <c r="F20" s="34"/>
      <c r="G20" s="7">
        <f>F20*F17</f>
        <v>0</v>
      </c>
      <c r="H20" s="34"/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90000</v>
      </c>
      <c r="C23" s="17">
        <f>+C4+F4+I4+L4+C5+F5+I5+L5</f>
        <v>68490</v>
      </c>
      <c r="D23" s="17">
        <f>+D4+G4+J4+M4+D5+G5+J5+M5</f>
        <v>68490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 t="e">
        <f>-(+B9/B4*100)+100</f>
        <v>#DIV/0!</v>
      </c>
      <c r="I26" s="24" t="e">
        <f>-(+E9/E4*100)+100</f>
        <v>#DIV/0!</v>
      </c>
      <c r="J26" s="24">
        <f>-(+H9/H4*100)+100</f>
        <v>100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</row>
    <row r="28" spans="1:15" ht="30" customHeight="1" x14ac:dyDescent="0.25">
      <c r="A28" s="18" t="s">
        <v>44</v>
      </c>
      <c r="B28" s="19">
        <v>0</v>
      </c>
      <c r="C28" s="19"/>
      <c r="D28" s="19"/>
      <c r="E28" s="19"/>
      <c r="G28" s="16" t="s">
        <v>38</v>
      </c>
      <c r="H28" s="24">
        <f>+B4+B5+E4+E5+H4+H5+K4+K5+B15+D15+F15+H15</f>
        <v>1261000</v>
      </c>
    </row>
    <row r="29" spans="1:15" ht="30" customHeight="1" x14ac:dyDescent="0.25">
      <c r="A29" s="18" t="s">
        <v>33</v>
      </c>
      <c r="B29" s="19">
        <v>0</v>
      </c>
      <c r="C29" s="19">
        <v>80000</v>
      </c>
      <c r="D29" s="19">
        <v>881</v>
      </c>
      <c r="E29" s="19"/>
      <c r="G29" s="16" t="s">
        <v>39</v>
      </c>
      <c r="H29" s="24">
        <f>+B9+E9+H9+K9+B19+D19+F19+H19</f>
        <v>0</v>
      </c>
    </row>
    <row r="30" spans="1:15" ht="30" customHeight="1" x14ac:dyDescent="0.25">
      <c r="A30" s="16" t="s">
        <v>17</v>
      </c>
      <c r="B30" s="17">
        <f>+B23+B24-B25-B26-B27-B28-B29</f>
        <v>90000</v>
      </c>
      <c r="C30" s="17">
        <f>+C23+C24-C25-C26-C27-C28-C29</f>
        <v>-11510</v>
      </c>
      <c r="D30" s="17">
        <f>+D23+D24-D25-D26-D27-D28-D29</f>
        <v>67609</v>
      </c>
      <c r="E30" s="17">
        <f>+E23+E24-E25-E26-E27-E28-E29</f>
        <v>0</v>
      </c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3" ht="30" customHeight="1" x14ac:dyDescent="0.25">
      <c r="A33" s="16" t="s">
        <v>18</v>
      </c>
      <c r="B33" s="17">
        <f>IF(B30&lt;=0,0,IF(C29&lt;&gt;0,B30,IF(D29&lt;&gt;0,B30,IF(AND(C30&lt;0,D30&lt;0),MAX(0,B30+C30+D30),IF(AND(C30&lt;0,D30&gt;=0),MAX(0,B30+C30),IF(AND(C30&gt;=0,D30&lt;0),MAX(0,B30+D30),B30))))))</f>
        <v>90000</v>
      </c>
      <c r="C33" s="17">
        <f>IF(C30&lt;=0,0,IF(AND(C30&gt;0,B30&lt;0),MAX(0,C30-B28),C30))</f>
        <v>0</v>
      </c>
      <c r="D33" s="17">
        <f>IF(D30&lt;=0,0,IF(AND(D30&gt;0,B30+C30&lt;0,C30&gt;0),MAX(0,D30+C30+B30),IF(AND(D30&gt;0,B30&lt;0,C30&lt;=0),MAX(0,D30+B30),D30)))</f>
        <v>67609</v>
      </c>
      <c r="E33" s="17">
        <f>IF(E30&lt;=0,0,E30)</f>
        <v>0</v>
      </c>
      <c r="F33" s="17">
        <f>SUM(B33:E33)</f>
        <v>157609</v>
      </c>
      <c r="I33" s="9" t="s">
        <v>28</v>
      </c>
      <c r="J33" s="20"/>
      <c r="K33" s="21"/>
    </row>
    <row r="34" spans="1:13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/>
    </row>
    <row r="35" spans="1:13" ht="30" customHeight="1" x14ac:dyDescent="0.25">
      <c r="A35" s="16" t="s">
        <v>27</v>
      </c>
      <c r="B35" s="17">
        <f>SUM(B33:B34)</f>
        <v>90000</v>
      </c>
      <c r="C35" s="17">
        <f>SUM(C33:C34)</f>
        <v>0</v>
      </c>
      <c r="D35" s="17">
        <f>SUM(D33:D34)</f>
        <v>67609</v>
      </c>
      <c r="E35" s="17">
        <f>SUM(E33:E34)</f>
        <v>0</v>
      </c>
      <c r="F35" s="17">
        <f>SUM(B35:E35)</f>
        <v>157609</v>
      </c>
      <c r="I35" s="9" t="s">
        <v>30</v>
      </c>
      <c r="J35" s="22">
        <f>+J34-J33</f>
        <v>0</v>
      </c>
    </row>
    <row r="36" spans="1:13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J36" s="23"/>
      <c r="K36" s="23"/>
      <c r="L36" s="23"/>
      <c r="M36" s="23"/>
    </row>
    <row r="37" spans="1:13" ht="30" customHeight="1" x14ac:dyDescent="0.25">
      <c r="A37" s="16" t="s">
        <v>35</v>
      </c>
      <c r="B37" s="24">
        <f>+B35+B36</f>
        <v>90000</v>
      </c>
      <c r="C37" s="16">
        <f>+C35+C36</f>
        <v>0</v>
      </c>
      <c r="D37" s="16">
        <f>+D35+D36</f>
        <v>67609</v>
      </c>
      <c r="E37" s="16">
        <f>+E35+E36</f>
        <v>0</v>
      </c>
      <c r="F37" s="16">
        <f>SUMIF(B37:E37,"&gt;0")</f>
        <v>157609</v>
      </c>
      <c r="J37" s="23"/>
      <c r="K37" s="23"/>
      <c r="L37" s="23"/>
      <c r="M37" s="23"/>
    </row>
  </sheetData>
  <sheetProtection password="C5DA" sheet="1" objects="1" scenarios="1" selectLockedCells="1"/>
  <mergeCells count="31">
    <mergeCell ref="A1:O1"/>
    <mergeCell ref="B2:D2"/>
    <mergeCell ref="E2:G2"/>
    <mergeCell ref="H2:J2"/>
    <mergeCell ref="K2:M2"/>
    <mergeCell ref="N2:O2"/>
    <mergeCell ref="B13:C13"/>
    <mergeCell ref="D13:E13"/>
    <mergeCell ref="F13:G13"/>
    <mergeCell ref="H13:I13"/>
    <mergeCell ref="J13:K13"/>
    <mergeCell ref="B7:D7"/>
    <mergeCell ref="E7:G7"/>
    <mergeCell ref="H7:J7"/>
    <mergeCell ref="K7:M7"/>
    <mergeCell ref="N7:O7"/>
    <mergeCell ref="B17:C17"/>
    <mergeCell ref="D17:E17"/>
    <mergeCell ref="F17:G17"/>
    <mergeCell ref="H17:I17"/>
    <mergeCell ref="J17:K17"/>
    <mergeCell ref="L13:M13"/>
    <mergeCell ref="J14:K14"/>
    <mergeCell ref="L14:M14"/>
    <mergeCell ref="J15:K15"/>
    <mergeCell ref="L15:M15"/>
    <mergeCell ref="L17:M17"/>
    <mergeCell ref="J18:K18"/>
    <mergeCell ref="L18:M18"/>
    <mergeCell ref="J19:K19"/>
    <mergeCell ref="L19:M19"/>
  </mergeCells>
  <pageMargins left="0.17" right="0.17" top="0.3" bottom="0.17" header="0.3" footer="0.17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"/>
  <sheetViews>
    <sheetView view="pageBreakPreview" topLeftCell="A22" zoomScale="80" zoomScaleNormal="130" zoomScaleSheetLayoutView="80" workbookViewId="0">
      <selection activeCell="H16" sqref="H16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43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0.05</v>
      </c>
      <c r="C2" s="102"/>
      <c r="D2" s="103"/>
      <c r="E2" s="101">
        <v>0.12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0</v>
      </c>
      <c r="B4" s="34">
        <v>0</v>
      </c>
      <c r="C4" s="7">
        <f>B4*B2/2</f>
        <v>0</v>
      </c>
      <c r="D4" s="7">
        <f>B4*B2/2</f>
        <v>0</v>
      </c>
      <c r="E4" s="34"/>
      <c r="F4" s="7">
        <f>E4*E2/2</f>
        <v>0</v>
      </c>
      <c r="G4" s="7">
        <f>E4*E2/2</f>
        <v>0</v>
      </c>
      <c r="H4" s="28">
        <v>761000</v>
      </c>
      <c r="I4" s="7">
        <f>H4*H2/2</f>
        <v>68490</v>
      </c>
      <c r="J4" s="7">
        <f>H4*H2/2</f>
        <v>68490</v>
      </c>
      <c r="K4" s="34"/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37</v>
      </c>
      <c r="B5" s="34"/>
      <c r="C5" s="7">
        <f>B5*B2/2</f>
        <v>0</v>
      </c>
      <c r="D5" s="7">
        <f>B5*B2/2</f>
        <v>0</v>
      </c>
      <c r="E5" s="34"/>
      <c r="F5" s="7">
        <f>E5*E2/2</f>
        <v>0</v>
      </c>
      <c r="G5" s="7">
        <f>E5*E2/2</f>
        <v>0</v>
      </c>
      <c r="H5" s="34"/>
      <c r="I5" s="7">
        <f>H5*H2/2</f>
        <v>0</v>
      </c>
      <c r="J5" s="7">
        <f>H5*H2/2</f>
        <v>0</v>
      </c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10"/>
      <c r="C6" s="11"/>
      <c r="D6" s="12"/>
      <c r="E6" s="10"/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>
        <v>1000000</v>
      </c>
      <c r="I9" s="7">
        <f>H9*H7/2</f>
        <v>90000</v>
      </c>
      <c r="J9" s="7">
        <f>H9*H7/2</f>
        <v>90000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21</v>
      </c>
      <c r="B10" s="34"/>
      <c r="C10" s="7">
        <f>B10*B7/2</f>
        <v>0</v>
      </c>
      <c r="D10" s="7">
        <f>B10*B7/2</f>
        <v>0</v>
      </c>
      <c r="E10" s="34">
        <v>0</v>
      </c>
      <c r="F10" s="7">
        <f>E10*E7/2</f>
        <v>0</v>
      </c>
      <c r="G10" s="7">
        <f>E10*E7/2</f>
        <v>0</v>
      </c>
      <c r="H10" s="34"/>
      <c r="I10" s="7">
        <f>H10*H7/2</f>
        <v>0</v>
      </c>
      <c r="J10" s="7">
        <f>H10*H7/2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K11*K7/2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>
        <v>500000</v>
      </c>
      <c r="G15" s="7">
        <f>F15*F13</f>
        <v>90000</v>
      </c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11</v>
      </c>
      <c r="B19" s="34"/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21</v>
      </c>
      <c r="B20" s="34"/>
      <c r="C20" s="7">
        <f>B20*B17</f>
        <v>0</v>
      </c>
      <c r="D20" s="34"/>
      <c r="E20" s="7">
        <f>D20*D17</f>
        <v>0</v>
      </c>
      <c r="F20" s="34"/>
      <c r="G20" s="7">
        <f>F20*F17</f>
        <v>0</v>
      </c>
      <c r="H20" s="34"/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90000</v>
      </c>
      <c r="C23" s="17">
        <f>+C4+F4+I4+L4+C5+F5+I5+L5</f>
        <v>68490</v>
      </c>
      <c r="D23" s="17">
        <f>+D4+G4+J4+M4+D5+G5+J5+M5</f>
        <v>68490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90000</v>
      </c>
      <c r="D25" s="17">
        <f t="shared" si="0"/>
        <v>90000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 t="e">
        <f>-(+B9/B4*100)+100</f>
        <v>#DIV/0!</v>
      </c>
      <c r="I26" s="24" t="e">
        <f>-(+E9/E4*100)+100</f>
        <v>#DIV/0!</v>
      </c>
      <c r="J26" s="24">
        <f>-(+H9/H4*100)+100</f>
        <v>-31.406044678055196</v>
      </c>
      <c r="K26" s="24" t="e">
        <f>-(+K9/K4*100)+100</f>
        <v>#DIV/0!</v>
      </c>
      <c r="L26" s="24">
        <f>-(((B9+E9+H9+K9+N9+B19+D19+F19+H19+J19+L19)/(B4+E4+H4+K4+N4+B15+D15+F15+H15+J15+L15))*100)+100</f>
        <v>20.697858842188737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</row>
    <row r="28" spans="1:15" ht="30" customHeight="1" x14ac:dyDescent="0.25">
      <c r="A28" s="18" t="s">
        <v>44</v>
      </c>
      <c r="B28" s="19"/>
      <c r="C28" s="19"/>
      <c r="D28" s="19"/>
      <c r="E28" s="19"/>
      <c r="G28" s="16" t="s">
        <v>38</v>
      </c>
      <c r="H28" s="24">
        <f>+B4+B5+E4+E5+H4+H5+K4+K5+B15+D15+F15+H15</f>
        <v>1261000</v>
      </c>
    </row>
    <row r="29" spans="1:15" ht="30" customHeight="1" x14ac:dyDescent="0.25">
      <c r="A29" s="18" t="s">
        <v>33</v>
      </c>
      <c r="B29" s="19"/>
      <c r="C29" s="19">
        <v>0</v>
      </c>
      <c r="D29" s="19">
        <v>0</v>
      </c>
      <c r="E29" s="19"/>
      <c r="G29" s="16" t="s">
        <v>39</v>
      </c>
      <c r="H29" s="24">
        <f>+B9+E9+H9+K9+B19+D19+F19+H19</f>
        <v>1000000</v>
      </c>
    </row>
    <row r="30" spans="1:15" ht="30" customHeight="1" x14ac:dyDescent="0.25">
      <c r="A30" s="16" t="s">
        <v>17</v>
      </c>
      <c r="B30" s="17">
        <f>+B23+B24-B25-B26-B27-B28-B29</f>
        <v>90000</v>
      </c>
      <c r="C30" s="17">
        <f>+C23+C24-C25-C26-C27-C28-C29</f>
        <v>-21510</v>
      </c>
      <c r="D30" s="17">
        <f>+D23+D24-D25-D26-D27-D28-D29</f>
        <v>-21510</v>
      </c>
      <c r="E30" s="17">
        <f>+E23+E24-E25-E26-E27-E28-E29</f>
        <v>0</v>
      </c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3" ht="30" customHeight="1" x14ac:dyDescent="0.25">
      <c r="A33" s="16" t="s">
        <v>18</v>
      </c>
      <c r="B33" s="17">
        <f>IF(B30&lt;=0,0,IF(C29&lt;&gt;0,B30+C30+C29+D30+D29,IF(D29&lt;&gt;0,B30,IF(AND(C30&lt;0,D30&lt;0),MAX(0,B30+C30+D30),IF(AND(C30&lt;0,D30&gt;=0),MAX(0,B30+C30),IF(AND(C30&gt;=0,D30&lt;0),MAX(0,B30+D30),B30))))))</f>
        <v>46980</v>
      </c>
      <c r="C33" s="17">
        <f>IF(C30&lt;=0,0,IF(AND(C30&gt;0,B30&lt;0),MAX(0,C30-B28),C30))</f>
        <v>0</v>
      </c>
      <c r="D33" s="17">
        <f>IF(D30&lt;=0,0,IF(AND(D30&gt;0,B30+C30&lt;0,C30&gt;0),MAX(0,D30+C30+B30),IF(AND(D30&gt;0,B30&lt;0,C30&lt;=0),MAX(0,D30+B30),D30)))</f>
        <v>0</v>
      </c>
      <c r="E33" s="17">
        <f>IF(E30&lt;=0,0,E30)</f>
        <v>0</v>
      </c>
      <c r="F33" s="17">
        <f>SUM(B33:E33)</f>
        <v>46980</v>
      </c>
      <c r="I33" s="9" t="s">
        <v>28</v>
      </c>
      <c r="J33" s="20"/>
      <c r="K33" s="21"/>
    </row>
    <row r="34" spans="1:13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/>
    </row>
    <row r="35" spans="1:13" ht="30" customHeight="1" x14ac:dyDescent="0.25">
      <c r="A35" s="16" t="s">
        <v>27</v>
      </c>
      <c r="B35" s="17">
        <f>SUM(B33:B34)</f>
        <v>46980</v>
      </c>
      <c r="C35" s="17">
        <f>SUM(C33:C34)</f>
        <v>0</v>
      </c>
      <c r="D35" s="17">
        <f>SUM(D33:D34)</f>
        <v>0</v>
      </c>
      <c r="E35" s="17">
        <f>SUM(E33:E34)</f>
        <v>0</v>
      </c>
      <c r="F35" s="17">
        <f>SUM(B35:E35)</f>
        <v>46980</v>
      </c>
      <c r="I35" s="9" t="s">
        <v>30</v>
      </c>
      <c r="J35" s="22">
        <f>+J34-J33</f>
        <v>0</v>
      </c>
    </row>
    <row r="36" spans="1:13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J36" s="23"/>
      <c r="K36" s="23"/>
      <c r="L36" s="23"/>
      <c r="M36" s="23"/>
    </row>
    <row r="37" spans="1:13" ht="30" customHeight="1" x14ac:dyDescent="0.25">
      <c r="A37" s="16" t="s">
        <v>35</v>
      </c>
      <c r="B37" s="24">
        <f>+B35+B36</f>
        <v>46980</v>
      </c>
      <c r="C37" s="16">
        <f>+C35+C36</f>
        <v>0</v>
      </c>
      <c r="D37" s="16">
        <f>+D35+D36</f>
        <v>0</v>
      </c>
      <c r="E37" s="16">
        <f>+E35+E36</f>
        <v>0</v>
      </c>
      <c r="F37" s="16">
        <f>SUMIF(B37:E37,"&gt;0")</f>
        <v>46980</v>
      </c>
      <c r="J37" s="23"/>
      <c r="K37" s="23"/>
      <c r="L37" s="23"/>
      <c r="M37" s="23"/>
    </row>
  </sheetData>
  <sheetProtection password="C5DA" sheet="1" objects="1" scenarios="1" selectLockedCells="1"/>
  <mergeCells count="31">
    <mergeCell ref="L17:M17"/>
    <mergeCell ref="J18:K18"/>
    <mergeCell ref="L18:M18"/>
    <mergeCell ref="J19:K19"/>
    <mergeCell ref="L19:M19"/>
    <mergeCell ref="L13:M13"/>
    <mergeCell ref="J14:K14"/>
    <mergeCell ref="L14:M14"/>
    <mergeCell ref="J15:K15"/>
    <mergeCell ref="L15:M15"/>
    <mergeCell ref="B17:C17"/>
    <mergeCell ref="D17:E17"/>
    <mergeCell ref="F17:G17"/>
    <mergeCell ref="H17:I17"/>
    <mergeCell ref="J17:K17"/>
    <mergeCell ref="B7:D7"/>
    <mergeCell ref="E7:G7"/>
    <mergeCell ref="H7:J7"/>
    <mergeCell ref="K7:M7"/>
    <mergeCell ref="N7:O7"/>
    <mergeCell ref="B13:C13"/>
    <mergeCell ref="D13:E13"/>
    <mergeCell ref="F13:G13"/>
    <mergeCell ref="H13:I13"/>
    <mergeCell ref="J13:K13"/>
    <mergeCell ref="A1:O1"/>
    <mergeCell ref="B2:D2"/>
    <mergeCell ref="E2:G2"/>
    <mergeCell ref="H2:J2"/>
    <mergeCell ref="K2:M2"/>
    <mergeCell ref="N2:O2"/>
  </mergeCells>
  <pageMargins left="0.17" right="0.17" top="0.3" bottom="0.17" header="0.3" footer="0.17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7"/>
  <sheetViews>
    <sheetView view="pageBreakPreview" zoomScale="70" zoomScaleNormal="130" zoomScaleSheetLayoutView="70" workbookViewId="0">
      <selection activeCell="F4" sqref="F4:G5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70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/>
      <c r="C4" s="7">
        <f>B4*B2/2</f>
        <v>0</v>
      </c>
      <c r="D4" s="7">
        <f>B4*B2/2</f>
        <v>0</v>
      </c>
      <c r="E4" s="34">
        <f>'APR-25 WORKING'!H8</f>
        <v>7800000</v>
      </c>
      <c r="F4" s="7">
        <f>E4*E2/2</f>
        <v>195000</v>
      </c>
      <c r="G4" s="7">
        <f>E4*E2/2</f>
        <v>195000</v>
      </c>
      <c r="H4" s="28"/>
      <c r="I4" s="7"/>
      <c r="J4" s="7"/>
      <c r="K4" s="34"/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 t="e">
        <f>#REF!</f>
        <v>#REF!</v>
      </c>
      <c r="C5" s="7">
        <v>0</v>
      </c>
      <c r="D5" s="7">
        <v>0</v>
      </c>
      <c r="E5" s="34">
        <f>'APR-25 WORKING'!F13</f>
        <v>400000</v>
      </c>
      <c r="F5" s="7">
        <f>E5*E2/2</f>
        <v>10000</v>
      </c>
      <c r="G5" s="7">
        <f>E5*E2/2</f>
        <v>10000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/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205000</v>
      </c>
      <c r="D23" s="17">
        <f>+D4+G4+J4+M4+D5+G5+J5+M5</f>
        <v>205000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 t="e">
        <f>-(+B9/B4*100)+100</f>
        <v>#DIV/0!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 t="e">
        <f>+B4+B5+E4+E5+H4+H5+K4+K5+B15+D15+F15+H15</f>
        <v>#REF!</v>
      </c>
      <c r="I28" s="37" t="e">
        <f>+H28+J15+L15</f>
        <v>#REF!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205000</v>
      </c>
      <c r="D30" s="17">
        <f>+D23+D24-D25-D26-D27-D28-D29</f>
        <v>205000</v>
      </c>
      <c r="E30" s="17">
        <f>+E23+E24-E25-E26-E27-E28-E29</f>
        <v>0</v>
      </c>
      <c r="F30" s="38">
        <f>B30+C30+D30</f>
        <v>410000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205000</v>
      </c>
      <c r="D33" s="17">
        <f>IF(D30&lt;=0,0,IF(B30+B29&gt;=0,D30,IF(AND(D30&gt;0,B30+C30+B29&lt;0,C30&gt;0),MAX(0,D30+C30+B30+B29),IF(AND(D30&gt;0,B30&lt;0,C30&lt;=0),MAX(0,D30+B30+B29),D30))))</f>
        <v>205000</v>
      </c>
      <c r="E33" s="17">
        <f>IF(E30&lt;=0,0,E30)</f>
        <v>0</v>
      </c>
      <c r="F33" s="17">
        <f>SUM(B33:E33)</f>
        <v>410000</v>
      </c>
      <c r="I33" s="9" t="s">
        <v>28</v>
      </c>
      <c r="J33" s="20">
        <v>45402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45402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205000</v>
      </c>
      <c r="D35" s="17">
        <f>SUM(D33:D34)</f>
        <v>205000</v>
      </c>
      <c r="E35" s="17">
        <f>SUM(E33:E34)</f>
        <v>0</v>
      </c>
      <c r="F35" s="17">
        <f>SUM(B35:E35)</f>
        <v>410000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205000</v>
      </c>
      <c r="D37" s="16">
        <f>+D35+D36</f>
        <v>205000</v>
      </c>
      <c r="E37" s="16">
        <f>+E35+E36</f>
        <v>0</v>
      </c>
      <c r="F37" s="16">
        <f>SUMIF(B37:E37,"&gt;0")</f>
        <v>410000</v>
      </c>
      <c r="I37" s="1" t="s">
        <v>19</v>
      </c>
      <c r="J37" s="23">
        <f>F37+J36</f>
        <v>410000</v>
      </c>
      <c r="K37" s="23"/>
      <c r="L37" s="23"/>
      <c r="M37" s="23"/>
    </row>
  </sheetData>
  <sheetProtection password="C5DA" sheet="1" objects="1" scenarios="1" selectLockedCells="1"/>
  <mergeCells count="31">
    <mergeCell ref="A1:O1"/>
    <mergeCell ref="B2:D2"/>
    <mergeCell ref="E2:G2"/>
    <mergeCell ref="H2:J2"/>
    <mergeCell ref="K2:M2"/>
    <mergeCell ref="N2:O2"/>
    <mergeCell ref="B13:C13"/>
    <mergeCell ref="D13:E13"/>
    <mergeCell ref="F13:G13"/>
    <mergeCell ref="H13:I13"/>
    <mergeCell ref="J13:K13"/>
    <mergeCell ref="B7:D7"/>
    <mergeCell ref="E7:G7"/>
    <mergeCell ref="H7:J7"/>
    <mergeCell ref="K7:M7"/>
    <mergeCell ref="N7:O7"/>
    <mergeCell ref="B17:C17"/>
    <mergeCell ref="D17:E17"/>
    <mergeCell ref="F17:G17"/>
    <mergeCell ref="H17:I17"/>
    <mergeCell ref="J17:K17"/>
    <mergeCell ref="L13:M13"/>
    <mergeCell ref="J14:K14"/>
    <mergeCell ref="L14:M14"/>
    <mergeCell ref="J15:K15"/>
    <mergeCell ref="L15:M15"/>
    <mergeCell ref="L17:M17"/>
    <mergeCell ref="J18:K18"/>
    <mergeCell ref="L18:M18"/>
    <mergeCell ref="J19:K19"/>
    <mergeCell ref="L19:M19"/>
  </mergeCells>
  <pageMargins left="0.17" right="0.17" top="0.3" bottom="0.17" header="0.3" footer="0.17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4"/>
  <sheetViews>
    <sheetView view="pageBreakPreview" zoomScaleNormal="100" zoomScaleSheetLayoutView="100" workbookViewId="0">
      <selection activeCell="B5" sqref="B5:C5"/>
    </sheetView>
  </sheetViews>
  <sheetFormatPr defaultRowHeight="15" x14ac:dyDescent="0.25"/>
  <cols>
    <col min="1" max="1" width="10.42578125" customWidth="1"/>
    <col min="2" max="2" width="9" bestFit="1" customWidth="1"/>
    <col min="3" max="3" width="31.5703125" bestFit="1" customWidth="1"/>
    <col min="4" max="4" width="23.42578125" customWidth="1"/>
    <col min="5" max="5" width="13.28515625" bestFit="1" customWidth="1"/>
    <col min="6" max="6" width="22" bestFit="1" customWidth="1"/>
    <col min="7" max="7" width="28" bestFit="1" customWidth="1"/>
    <col min="8" max="8" width="27.28515625" customWidth="1"/>
    <col min="9" max="9" width="20" customWidth="1"/>
    <col min="10" max="10" width="10.5703125" bestFit="1" customWidth="1"/>
  </cols>
  <sheetData>
    <row r="1" spans="1:9" ht="21" x14ac:dyDescent="0.35">
      <c r="E1" s="106" t="s">
        <v>69</v>
      </c>
      <c r="F1" s="106"/>
      <c r="G1" s="106"/>
      <c r="H1" s="106"/>
    </row>
    <row r="2" spans="1:9" x14ac:dyDescent="0.25">
      <c r="C2" s="107" t="s">
        <v>53</v>
      </c>
      <c r="D2" s="107"/>
      <c r="E2" s="107"/>
      <c r="F2" s="107"/>
      <c r="G2" s="107"/>
      <c r="H2" s="107"/>
      <c r="I2" s="107"/>
    </row>
    <row r="3" spans="1:9" ht="15.75" x14ac:dyDescent="0.25">
      <c r="A3" s="41" t="s">
        <v>50</v>
      </c>
      <c r="B3" s="41" t="s">
        <v>54</v>
      </c>
      <c r="C3" s="43" t="s">
        <v>55</v>
      </c>
      <c r="D3" s="43" t="s">
        <v>56</v>
      </c>
      <c r="E3" s="43" t="s">
        <v>32</v>
      </c>
      <c r="F3" s="43" t="s">
        <v>57</v>
      </c>
      <c r="G3" s="43" t="s">
        <v>58</v>
      </c>
      <c r="H3" s="44" t="s">
        <v>59</v>
      </c>
      <c r="I3" s="44" t="s">
        <v>60</v>
      </c>
    </row>
    <row r="4" spans="1:9" x14ac:dyDescent="0.25">
      <c r="A4" s="54" t="s">
        <v>68</v>
      </c>
      <c r="B4" s="39">
        <v>606</v>
      </c>
      <c r="C4" s="40" t="s">
        <v>71</v>
      </c>
      <c r="D4" s="45">
        <v>8000000</v>
      </c>
      <c r="E4" s="50">
        <f>D4*5%</f>
        <v>400000</v>
      </c>
      <c r="F4" s="45">
        <v>200000</v>
      </c>
      <c r="G4" s="50">
        <f>F4*5%</f>
        <v>10000</v>
      </c>
      <c r="H4" s="50">
        <f>D4-F4</f>
        <v>7800000</v>
      </c>
      <c r="I4" s="50">
        <f>H4*5%</f>
        <v>390000</v>
      </c>
    </row>
    <row r="5" spans="1:9" x14ac:dyDescent="0.25">
      <c r="A5" s="54" t="s">
        <v>68</v>
      </c>
      <c r="B5" s="63"/>
      <c r="C5" s="40"/>
      <c r="D5" s="45"/>
      <c r="E5" s="50">
        <f>D5*5%</f>
        <v>0</v>
      </c>
      <c r="F5" s="45"/>
      <c r="G5" s="50"/>
      <c r="H5" s="50">
        <f>D5-F5</f>
        <v>0</v>
      </c>
      <c r="I5" s="50">
        <f>H5*5%</f>
        <v>0</v>
      </c>
    </row>
    <row r="6" spans="1:9" x14ac:dyDescent="0.25">
      <c r="A6" s="54"/>
      <c r="B6" s="63"/>
      <c r="C6" s="40"/>
      <c r="D6" s="39"/>
      <c r="E6" s="50">
        <f>D6*5%</f>
        <v>0</v>
      </c>
      <c r="F6" s="45"/>
      <c r="G6" s="50"/>
      <c r="H6" s="50">
        <f>D6-F6</f>
        <v>0</v>
      </c>
      <c r="I6" s="50">
        <f>H6*5%</f>
        <v>0</v>
      </c>
    </row>
    <row r="7" spans="1:9" x14ac:dyDescent="0.25">
      <c r="A7" s="54"/>
      <c r="B7" s="63"/>
      <c r="C7" s="40"/>
      <c r="D7" s="39"/>
      <c r="E7" s="50"/>
      <c r="F7" s="39"/>
      <c r="G7" s="50"/>
      <c r="H7" s="50"/>
      <c r="I7" s="50"/>
    </row>
    <row r="8" spans="1:9" x14ac:dyDescent="0.25">
      <c r="A8" s="39"/>
      <c r="B8" s="41"/>
      <c r="C8" s="52"/>
      <c r="D8" s="51">
        <f t="shared" ref="D8:H8" si="0">SUM(D4:D6)</f>
        <v>8000000</v>
      </c>
      <c r="E8" s="51">
        <f>SUM(E4:E6)</f>
        <v>400000</v>
      </c>
      <c r="F8" s="51">
        <f t="shared" si="0"/>
        <v>200000</v>
      </c>
      <c r="G8" s="51">
        <f>SUM(G4:G6)</f>
        <v>10000</v>
      </c>
      <c r="H8" s="51">
        <f t="shared" si="0"/>
        <v>7800000</v>
      </c>
      <c r="I8" s="51">
        <f>SUM(I4:I6)</f>
        <v>390000</v>
      </c>
    </row>
    <row r="9" spans="1:9" ht="18.75" x14ac:dyDescent="0.3">
      <c r="B9" s="46"/>
      <c r="C9" s="46"/>
      <c r="D9" s="46"/>
      <c r="E9" s="46"/>
      <c r="F9" s="46"/>
      <c r="G9" s="46"/>
      <c r="H9" s="46"/>
      <c r="I9" s="46"/>
    </row>
    <row r="10" spans="1:9" ht="18.75" x14ac:dyDescent="0.3">
      <c r="B10" s="46"/>
      <c r="C10" s="46"/>
      <c r="D10" s="46"/>
      <c r="E10" s="46"/>
      <c r="F10" s="46"/>
      <c r="G10" s="46"/>
      <c r="H10" s="46"/>
      <c r="I10" s="46"/>
    </row>
    <row r="11" spans="1:9" ht="23.25" x14ac:dyDescent="0.35">
      <c r="B11" s="108" t="s">
        <v>61</v>
      </c>
      <c r="C11" s="108"/>
      <c r="D11" s="108"/>
      <c r="E11" s="108"/>
      <c r="F11" s="47"/>
      <c r="G11" s="47"/>
      <c r="H11" s="47"/>
    </row>
    <row r="12" spans="1:9" ht="18.75" x14ac:dyDescent="0.25">
      <c r="A12" s="41" t="s">
        <v>50</v>
      </c>
      <c r="B12" s="41" t="s">
        <v>62</v>
      </c>
      <c r="C12" s="41" t="s">
        <v>51</v>
      </c>
      <c r="D12" s="41" t="s">
        <v>65</v>
      </c>
      <c r="E12" s="41" t="s">
        <v>49</v>
      </c>
      <c r="F12" s="41" t="s">
        <v>66</v>
      </c>
      <c r="G12" s="60" t="s">
        <v>64</v>
      </c>
    </row>
    <row r="13" spans="1:9" x14ac:dyDescent="0.25">
      <c r="A13" s="54">
        <v>45773</v>
      </c>
      <c r="B13" s="39">
        <v>508</v>
      </c>
      <c r="C13" s="40" t="s">
        <v>72</v>
      </c>
      <c r="D13" s="45"/>
      <c r="E13" s="45">
        <f t="shared" ref="E13:E18" si="1">D13*1%</f>
        <v>0</v>
      </c>
      <c r="F13" s="45">
        <v>400000</v>
      </c>
      <c r="G13" s="45">
        <f>F13*5%</f>
        <v>20000</v>
      </c>
    </row>
    <row r="14" spans="1:9" x14ac:dyDescent="0.25">
      <c r="A14" s="54"/>
      <c r="B14" s="39"/>
      <c r="C14" s="55"/>
      <c r="D14" s="45"/>
      <c r="E14" s="45">
        <f t="shared" si="1"/>
        <v>0</v>
      </c>
      <c r="F14" s="45"/>
      <c r="G14" s="45">
        <f>F14*5%</f>
        <v>0</v>
      </c>
    </row>
    <row r="15" spans="1:9" x14ac:dyDescent="0.25">
      <c r="A15" s="54"/>
      <c r="B15" s="39"/>
      <c r="C15" s="55"/>
      <c r="D15" s="45"/>
      <c r="E15" s="45">
        <f t="shared" si="1"/>
        <v>0</v>
      </c>
      <c r="F15" s="45"/>
      <c r="G15" s="45">
        <f>F15*5%</f>
        <v>0</v>
      </c>
    </row>
    <row r="16" spans="1:9" x14ac:dyDescent="0.25">
      <c r="A16" s="54"/>
      <c r="B16" s="39"/>
      <c r="C16" s="55"/>
      <c r="D16" s="45"/>
      <c r="E16" s="45">
        <f t="shared" si="1"/>
        <v>0</v>
      </c>
      <c r="F16" s="45"/>
      <c r="G16" s="45">
        <f t="shared" ref="G16:G17" si="2">F16*5%</f>
        <v>0</v>
      </c>
    </row>
    <row r="17" spans="1:9" x14ac:dyDescent="0.25">
      <c r="A17" s="54"/>
      <c r="B17" s="49"/>
      <c r="C17" s="48"/>
      <c r="D17" s="45"/>
      <c r="E17" s="45">
        <f t="shared" si="1"/>
        <v>0</v>
      </c>
      <c r="F17" s="45"/>
      <c r="G17" s="45">
        <f t="shared" si="2"/>
        <v>0</v>
      </c>
    </row>
    <row r="18" spans="1:9" s="59" customFormat="1" x14ac:dyDescent="0.25">
      <c r="A18" s="56"/>
      <c r="B18" s="57"/>
      <c r="C18" s="58" t="s">
        <v>19</v>
      </c>
      <c r="D18" s="51">
        <f>SUM(D13:D17)</f>
        <v>0</v>
      </c>
      <c r="E18" s="51">
        <f t="shared" si="1"/>
        <v>0</v>
      </c>
      <c r="F18" s="51">
        <f>SUM(F13:F17)</f>
        <v>400000</v>
      </c>
      <c r="G18" s="51">
        <f>SUM(G13:G17)</f>
        <v>20000</v>
      </c>
      <c r="H18" s="64" t="s">
        <v>27</v>
      </c>
      <c r="I18" s="65">
        <f>ROUND(I8+E18+G18,0)</f>
        <v>410000</v>
      </c>
    </row>
    <row r="20" spans="1:9" ht="18.75" x14ac:dyDescent="0.3">
      <c r="B20" s="53"/>
      <c r="C20" s="61"/>
      <c r="D20" s="61"/>
    </row>
    <row r="21" spans="1:9" ht="18.75" x14ac:dyDescent="0.3">
      <c r="C21" s="62"/>
      <c r="D21" s="61"/>
    </row>
    <row r="22" spans="1:9" ht="18.75" x14ac:dyDescent="0.3">
      <c r="C22" s="61"/>
      <c r="D22" s="61"/>
    </row>
    <row r="23" spans="1:9" ht="18.75" x14ac:dyDescent="0.3">
      <c r="C23" s="61"/>
      <c r="D23" s="61"/>
    </row>
    <row r="24" spans="1:9" ht="18.75" x14ac:dyDescent="0.3">
      <c r="C24" s="61"/>
      <c r="D24" s="61"/>
    </row>
  </sheetData>
  <mergeCells count="3">
    <mergeCell ref="E1:H1"/>
    <mergeCell ref="C2:I2"/>
    <mergeCell ref="B11:E11"/>
  </mergeCells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7"/>
  <sheetViews>
    <sheetView view="pageBreakPreview" zoomScale="70" zoomScaleNormal="130" zoomScaleSheetLayoutView="70" workbookViewId="0">
      <selection activeCell="I11" sqref="I11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70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>
        <f>'MAY-25 WORKING'!H6</f>
        <v>4488000</v>
      </c>
      <c r="C4" s="7">
        <f>B4*B2/2</f>
        <v>22440</v>
      </c>
      <c r="D4" s="7">
        <f>B4*B2/2</f>
        <v>22440</v>
      </c>
      <c r="E4" s="34">
        <f>SUM('MAY-25 WORKING'!H4:H5)</f>
        <v>14400000</v>
      </c>
      <c r="F4" s="7">
        <f>E4*E2/2</f>
        <v>360000</v>
      </c>
      <c r="G4" s="7">
        <f>E4*E2/2</f>
        <v>360000</v>
      </c>
      <c r="H4" s="28"/>
      <c r="I4" s="7"/>
      <c r="J4" s="7"/>
      <c r="K4" s="34"/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v>0</v>
      </c>
      <c r="C5" s="7">
        <v>0</v>
      </c>
      <c r="D5" s="7">
        <v>0</v>
      </c>
      <c r="E5" s="34">
        <f>'MAY-25 WORKING'!F18</f>
        <v>0</v>
      </c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/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382440</v>
      </c>
      <c r="D23" s="17">
        <f>+D4+G4+J4+M4+D5+G5+J5+M5</f>
        <v>382440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>
        <f>-(+B9/B4*100)+100</f>
        <v>100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18888000</v>
      </c>
      <c r="I28" s="37">
        <f>+H28+J15+L15</f>
        <v>18888000</v>
      </c>
    </row>
    <row r="29" spans="1:15" ht="30" customHeight="1" x14ac:dyDescent="0.25">
      <c r="A29" s="18" t="s">
        <v>33</v>
      </c>
      <c r="B29" s="19">
        <v>0</v>
      </c>
      <c r="C29" s="7">
        <v>62000</v>
      </c>
      <c r="D29" s="7">
        <v>62000</v>
      </c>
      <c r="E29" s="19"/>
      <c r="G29" s="16" t="s">
        <v>39</v>
      </c>
      <c r="H29" s="24">
        <f>+B9+E9+H9+K9+B19+D19+F19+H19</f>
        <v>0</v>
      </c>
      <c r="I29" s="37"/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320440</v>
      </c>
      <c r="D30" s="17">
        <f>+D23+D24-D25-D26-D27-D28-D29</f>
        <v>320440</v>
      </c>
      <c r="E30" s="17">
        <f>+E23+E24-E25-E26-E27-E28-E29</f>
        <v>0</v>
      </c>
      <c r="F30" s="38">
        <f>B30+C30+D30</f>
        <v>640880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320440</v>
      </c>
      <c r="D33" s="17">
        <f>IF(D30&lt;=0,0,IF(B30+B29&gt;=0,D30,IF(AND(D30&gt;0,B30+C30+B29&lt;0,C30&gt;0),MAX(0,D30+C30+B30+B29),IF(AND(D30&gt;0,B30&lt;0,C30&lt;=0),MAX(0,D30+B30+B29),D30))))</f>
        <v>320440</v>
      </c>
      <c r="E33" s="17">
        <f>IF(E30&lt;=0,0,E30)</f>
        <v>0</v>
      </c>
      <c r="F33" s="17">
        <f>SUM(B33:E33)</f>
        <v>640880</v>
      </c>
      <c r="I33" s="9" t="s">
        <v>28</v>
      </c>
      <c r="J33" s="20">
        <v>45402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45402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320440</v>
      </c>
      <c r="D35" s="17">
        <f>SUM(D33:D34)</f>
        <v>320440</v>
      </c>
      <c r="E35" s="17">
        <f>SUM(E33:E34)</f>
        <v>0</v>
      </c>
      <c r="F35" s="17">
        <f>SUM(B35:E35)</f>
        <v>640880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320440</v>
      </c>
      <c r="D37" s="16">
        <f>+D35+D36</f>
        <v>320440</v>
      </c>
      <c r="E37" s="16">
        <f>+E35+E36</f>
        <v>0</v>
      </c>
      <c r="F37" s="16">
        <f>SUMIF(B37:E37,"&gt;0")</f>
        <v>640880</v>
      </c>
      <c r="I37" s="1" t="s">
        <v>19</v>
      </c>
      <c r="J37" s="23">
        <f>F37+J36</f>
        <v>640880</v>
      </c>
      <c r="K37" s="23"/>
      <c r="L37" s="23"/>
      <c r="M37" s="23"/>
    </row>
  </sheetData>
  <sheetProtection password="C5DA" sheet="1" objects="1" scenarios="1" selectLockedCells="1"/>
  <mergeCells count="31">
    <mergeCell ref="A1:O1"/>
    <mergeCell ref="B2:D2"/>
    <mergeCell ref="E2:G2"/>
    <mergeCell ref="H2:J2"/>
    <mergeCell ref="K2:M2"/>
    <mergeCell ref="N2:O2"/>
    <mergeCell ref="B13:C13"/>
    <mergeCell ref="D13:E13"/>
    <mergeCell ref="F13:G13"/>
    <mergeCell ref="H13:I13"/>
    <mergeCell ref="J13:K13"/>
    <mergeCell ref="B7:D7"/>
    <mergeCell ref="E7:G7"/>
    <mergeCell ref="H7:J7"/>
    <mergeCell ref="K7:M7"/>
    <mergeCell ref="N7:O7"/>
    <mergeCell ref="B17:C17"/>
    <mergeCell ref="D17:E17"/>
    <mergeCell ref="F17:G17"/>
    <mergeCell ref="H17:I17"/>
    <mergeCell ref="J17:K17"/>
    <mergeCell ref="L13:M13"/>
    <mergeCell ref="J14:K14"/>
    <mergeCell ref="L14:M14"/>
    <mergeCell ref="J15:K15"/>
    <mergeCell ref="L15:M15"/>
    <mergeCell ref="L17:M17"/>
    <mergeCell ref="J18:K18"/>
    <mergeCell ref="L18:M18"/>
    <mergeCell ref="J19:K19"/>
    <mergeCell ref="L19:M19"/>
  </mergeCells>
  <pageMargins left="0.17" right="0.17" top="0.3" bottom="0.17" header="0.3" footer="0.17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4"/>
  <sheetViews>
    <sheetView tabSelected="1" view="pageBreakPreview" topLeftCell="B1" zoomScaleNormal="100" zoomScaleSheetLayoutView="100" workbookViewId="0">
      <selection activeCell="H15" sqref="H15"/>
    </sheetView>
  </sheetViews>
  <sheetFormatPr defaultRowHeight="15" x14ac:dyDescent="0.25"/>
  <cols>
    <col min="1" max="1" width="10.42578125" customWidth="1"/>
    <col min="2" max="2" width="9" bestFit="1" customWidth="1"/>
    <col min="3" max="3" width="40.28515625" bestFit="1" customWidth="1"/>
    <col min="4" max="4" width="23.42578125" customWidth="1"/>
    <col min="5" max="5" width="13.28515625" bestFit="1" customWidth="1"/>
    <col min="6" max="6" width="22" bestFit="1" customWidth="1"/>
    <col min="7" max="7" width="28" bestFit="1" customWidth="1"/>
    <col min="8" max="8" width="27.28515625" customWidth="1"/>
    <col min="9" max="9" width="20" customWidth="1"/>
    <col min="10" max="10" width="10.5703125" bestFit="1" customWidth="1"/>
  </cols>
  <sheetData>
    <row r="1" spans="1:9" ht="21" x14ac:dyDescent="0.35">
      <c r="E1" s="106" t="s">
        <v>79</v>
      </c>
      <c r="F1" s="106"/>
      <c r="G1" s="106"/>
      <c r="H1" s="106"/>
    </row>
    <row r="2" spans="1:9" x14ac:dyDescent="0.25">
      <c r="C2" s="107" t="s">
        <v>53</v>
      </c>
      <c r="D2" s="107"/>
      <c r="E2" s="107"/>
      <c r="F2" s="107"/>
      <c r="G2" s="107"/>
      <c r="H2" s="107"/>
      <c r="I2" s="107"/>
    </row>
    <row r="3" spans="1:9" ht="15.75" x14ac:dyDescent="0.25">
      <c r="A3" s="41" t="s">
        <v>50</v>
      </c>
      <c r="B3" s="41" t="s">
        <v>54</v>
      </c>
      <c r="C3" s="43" t="s">
        <v>55</v>
      </c>
      <c r="D3" s="43" t="s">
        <v>56</v>
      </c>
      <c r="E3" s="43" t="s">
        <v>32</v>
      </c>
      <c r="F3" s="43" t="s">
        <v>57</v>
      </c>
      <c r="G3" s="43" t="s">
        <v>58</v>
      </c>
      <c r="H3" s="44" t="s">
        <v>59</v>
      </c>
      <c r="I3" s="44" t="s">
        <v>60</v>
      </c>
    </row>
    <row r="4" spans="1:9" x14ac:dyDescent="0.25">
      <c r="A4" s="54" t="s">
        <v>68</v>
      </c>
      <c r="B4">
        <v>806</v>
      </c>
      <c r="C4" s="40" t="s">
        <v>76</v>
      </c>
      <c r="D4" s="45">
        <v>7500000</v>
      </c>
      <c r="E4" s="50">
        <f>D4*5%</f>
        <v>375000</v>
      </c>
      <c r="F4" s="45">
        <v>1500000</v>
      </c>
      <c r="G4" s="50">
        <f>F4*5%</f>
        <v>75000</v>
      </c>
      <c r="H4" s="50">
        <f>D4-F4</f>
        <v>6000000</v>
      </c>
      <c r="I4" s="50">
        <f>H4*5%</f>
        <v>300000</v>
      </c>
    </row>
    <row r="5" spans="1:9" x14ac:dyDescent="0.25">
      <c r="A5" s="54" t="s">
        <v>68</v>
      </c>
      <c r="B5" s="67">
        <v>309</v>
      </c>
      <c r="C5" s="40" t="s">
        <v>77</v>
      </c>
      <c r="D5" s="45">
        <v>8400000</v>
      </c>
      <c r="E5" s="50">
        <f>D5*5%</f>
        <v>420000</v>
      </c>
      <c r="F5" s="45"/>
      <c r="G5" s="50"/>
      <c r="H5" s="50">
        <f>D5-F5</f>
        <v>8400000</v>
      </c>
      <c r="I5" s="50">
        <f>H5*5%</f>
        <v>420000</v>
      </c>
    </row>
    <row r="6" spans="1:9" x14ac:dyDescent="0.25">
      <c r="A6" s="54"/>
      <c r="B6" s="67">
        <v>1409</v>
      </c>
      <c r="C6" s="40" t="s">
        <v>78</v>
      </c>
      <c r="D6" s="45">
        <v>4488000</v>
      </c>
      <c r="E6" s="50">
        <f>D6*1%</f>
        <v>44880</v>
      </c>
      <c r="F6" s="45"/>
      <c r="G6" s="50"/>
      <c r="H6" s="50">
        <f>D6-F6</f>
        <v>4488000</v>
      </c>
      <c r="I6" s="50">
        <f>H6*1%</f>
        <v>44880</v>
      </c>
    </row>
    <row r="7" spans="1:9" x14ac:dyDescent="0.25">
      <c r="A7" s="54"/>
      <c r="B7" s="63"/>
      <c r="C7" s="40"/>
      <c r="D7" s="39"/>
      <c r="E7" s="50"/>
      <c r="F7" s="39"/>
      <c r="G7" s="50"/>
      <c r="H7" s="50"/>
      <c r="I7" s="50"/>
    </row>
    <row r="8" spans="1:9" x14ac:dyDescent="0.25">
      <c r="A8" s="39"/>
      <c r="B8" s="41"/>
      <c r="C8" s="52"/>
      <c r="D8" s="51">
        <f t="shared" ref="D8:H8" si="0">SUM(D4:D6)</f>
        <v>20388000</v>
      </c>
      <c r="E8" s="51">
        <f>SUM(E4:E6)</f>
        <v>839880</v>
      </c>
      <c r="F8" s="51">
        <f t="shared" si="0"/>
        <v>1500000</v>
      </c>
      <c r="G8" s="51">
        <f>SUM(G4:G6)</f>
        <v>75000</v>
      </c>
      <c r="H8" s="51">
        <f t="shared" si="0"/>
        <v>18888000</v>
      </c>
      <c r="I8" s="51">
        <f>SUM(I4:I6)</f>
        <v>764880</v>
      </c>
    </row>
    <row r="9" spans="1:9" ht="18.75" x14ac:dyDescent="0.3">
      <c r="B9" s="46"/>
      <c r="C9" s="46"/>
      <c r="D9" s="46"/>
      <c r="E9" s="46"/>
      <c r="F9" s="46"/>
      <c r="G9" s="46"/>
      <c r="H9" s="46"/>
      <c r="I9" s="46"/>
    </row>
    <row r="10" spans="1:9" ht="18.75" x14ac:dyDescent="0.3">
      <c r="B10" s="46"/>
      <c r="C10" s="46"/>
      <c r="D10" s="46"/>
      <c r="E10" s="46"/>
      <c r="F10" s="46"/>
      <c r="G10" s="46"/>
      <c r="H10" s="46"/>
      <c r="I10" s="46"/>
    </row>
    <row r="11" spans="1:9" ht="23.25" x14ac:dyDescent="0.35">
      <c r="B11" s="108" t="s">
        <v>61</v>
      </c>
      <c r="C11" s="108"/>
      <c r="D11" s="108"/>
      <c r="E11" s="108"/>
      <c r="F11" s="47"/>
      <c r="G11" s="47"/>
      <c r="H11" s="47"/>
    </row>
    <row r="12" spans="1:9" ht="18.75" x14ac:dyDescent="0.25">
      <c r="A12" s="41" t="s">
        <v>50</v>
      </c>
      <c r="B12" s="41" t="s">
        <v>62</v>
      </c>
      <c r="C12" s="41" t="s">
        <v>51</v>
      </c>
      <c r="D12" s="41" t="s">
        <v>65</v>
      </c>
      <c r="E12" s="41" t="s">
        <v>49</v>
      </c>
      <c r="F12" s="41" t="s">
        <v>66</v>
      </c>
      <c r="G12" s="60" t="s">
        <v>64</v>
      </c>
    </row>
    <row r="13" spans="1:9" x14ac:dyDescent="0.25">
      <c r="A13" s="54"/>
      <c r="B13" s="39"/>
      <c r="C13" s="40"/>
      <c r="D13" s="45"/>
      <c r="E13" s="45">
        <f t="shared" ref="E13:E18" si="1">D13*1%</f>
        <v>0</v>
      </c>
      <c r="F13" s="45"/>
      <c r="G13" s="45">
        <f>F13*5%</f>
        <v>0</v>
      </c>
    </row>
    <row r="14" spans="1:9" x14ac:dyDescent="0.25">
      <c r="A14" s="54"/>
      <c r="B14" s="39"/>
      <c r="C14" s="55"/>
      <c r="D14" s="45"/>
      <c r="E14" s="45">
        <f t="shared" si="1"/>
        <v>0</v>
      </c>
      <c r="F14" s="45"/>
      <c r="G14" s="45">
        <f>F14*5%</f>
        <v>0</v>
      </c>
    </row>
    <row r="15" spans="1:9" x14ac:dyDescent="0.25">
      <c r="A15" s="54"/>
      <c r="B15" s="39"/>
      <c r="C15" s="55"/>
      <c r="D15" s="45"/>
      <c r="E15" s="45">
        <f t="shared" si="1"/>
        <v>0</v>
      </c>
      <c r="F15" s="45"/>
      <c r="G15" s="45">
        <f>F15*5%</f>
        <v>0</v>
      </c>
    </row>
    <row r="16" spans="1:9" x14ac:dyDescent="0.25">
      <c r="A16" s="54"/>
      <c r="B16" s="39"/>
      <c r="C16" s="55"/>
      <c r="D16" s="45"/>
      <c r="E16" s="45">
        <f t="shared" si="1"/>
        <v>0</v>
      </c>
      <c r="F16" s="45"/>
      <c r="G16" s="45">
        <f t="shared" ref="G16:G17" si="2">F16*5%</f>
        <v>0</v>
      </c>
    </row>
    <row r="17" spans="1:9" x14ac:dyDescent="0.25">
      <c r="A17" s="54"/>
      <c r="B17" s="49"/>
      <c r="C17" s="48"/>
      <c r="D17" s="45"/>
      <c r="E17" s="45">
        <f t="shared" si="1"/>
        <v>0</v>
      </c>
      <c r="F17" s="45"/>
      <c r="G17" s="45">
        <f t="shared" si="2"/>
        <v>0</v>
      </c>
    </row>
    <row r="18" spans="1:9" s="59" customFormat="1" x14ac:dyDescent="0.25">
      <c r="A18" s="56"/>
      <c r="B18" s="57"/>
      <c r="C18" s="58" t="s">
        <v>19</v>
      </c>
      <c r="D18" s="51">
        <f>SUM(D13:D17)</f>
        <v>0</v>
      </c>
      <c r="E18" s="51">
        <f t="shared" si="1"/>
        <v>0</v>
      </c>
      <c r="F18" s="51">
        <f>SUM(F13:F17)</f>
        <v>0</v>
      </c>
      <c r="G18" s="51">
        <f>SUM(G13:G17)</f>
        <v>0</v>
      </c>
      <c r="H18" s="64" t="s">
        <v>27</v>
      </c>
      <c r="I18" s="65">
        <f>ROUND(I8+E18+G18,0)</f>
        <v>764880</v>
      </c>
    </row>
    <row r="20" spans="1:9" ht="18.75" x14ac:dyDescent="0.3">
      <c r="B20" s="53"/>
      <c r="C20" s="61"/>
      <c r="D20" s="61"/>
    </row>
    <row r="21" spans="1:9" ht="18.75" x14ac:dyDescent="0.3">
      <c r="C21" s="62"/>
      <c r="D21" s="61"/>
    </row>
    <row r="22" spans="1:9" ht="18.75" x14ac:dyDescent="0.3">
      <c r="C22" s="61"/>
      <c r="D22" s="61"/>
    </row>
    <row r="23" spans="1:9" ht="18.75" x14ac:dyDescent="0.3">
      <c r="C23" s="61"/>
      <c r="D23" s="61"/>
    </row>
    <row r="24" spans="1:9" ht="18.75" x14ac:dyDescent="0.3">
      <c r="C24" s="61"/>
      <c r="D24" s="61"/>
    </row>
  </sheetData>
  <autoFilter ref="A3:I6" xr:uid="{00000000-0001-0000-0500-000000000000}"/>
  <mergeCells count="3">
    <mergeCell ref="E1:H1"/>
    <mergeCell ref="C2:I2"/>
    <mergeCell ref="B11:E11"/>
  </mergeCells>
  <pageMargins left="0.70866141732283472" right="0.70866141732283472" top="0.74803149606299213" bottom="0.74803149606299213" header="0.31496062992125984" footer="0.31496062992125984"/>
  <pageSetup paperSize="9" scale="6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F14" sqref="F14"/>
    </sheetView>
  </sheetViews>
  <sheetFormatPr defaultRowHeight="15" x14ac:dyDescent="0.25"/>
  <cols>
    <col min="1" max="1" width="19.85546875" customWidth="1"/>
    <col min="2" max="2" width="10.140625" bestFit="1" customWidth="1"/>
    <col min="3" max="3" width="15.5703125" customWidth="1"/>
    <col min="4" max="5" width="16.7109375" customWidth="1"/>
  </cols>
  <sheetData>
    <row r="1" spans="1:5" x14ac:dyDescent="0.25">
      <c r="A1" s="45"/>
      <c r="B1" s="45" t="s">
        <v>9</v>
      </c>
      <c r="C1" s="45" t="s">
        <v>4</v>
      </c>
      <c r="D1" s="45" t="s">
        <v>3</v>
      </c>
      <c r="E1" s="45" t="s">
        <v>75</v>
      </c>
    </row>
    <row r="2" spans="1:5" x14ac:dyDescent="0.25">
      <c r="A2" s="45" t="s">
        <v>0</v>
      </c>
      <c r="B2" s="45">
        <v>0</v>
      </c>
      <c r="C2" s="45">
        <v>205000</v>
      </c>
      <c r="D2" s="45">
        <v>205000</v>
      </c>
      <c r="E2" s="45">
        <f>SUM(B2:D2)</f>
        <v>410000</v>
      </c>
    </row>
    <row r="3" spans="1:5" x14ac:dyDescent="0.25">
      <c r="A3" s="45" t="s">
        <v>73</v>
      </c>
      <c r="B3" s="45">
        <v>0</v>
      </c>
      <c r="C3" s="45">
        <v>0</v>
      </c>
      <c r="D3" s="45">
        <v>0</v>
      </c>
      <c r="E3" s="45">
        <f t="shared" ref="E3:E5" si="0">SUM(B3:D3)</f>
        <v>0</v>
      </c>
    </row>
    <row r="4" spans="1:5" x14ac:dyDescent="0.25">
      <c r="A4" s="45" t="s">
        <v>74</v>
      </c>
      <c r="B4" s="45">
        <v>0</v>
      </c>
      <c r="C4" s="45">
        <v>12696</v>
      </c>
      <c r="D4" s="45">
        <v>12696</v>
      </c>
      <c r="E4" s="45">
        <f t="shared" si="0"/>
        <v>25392</v>
      </c>
    </row>
    <row r="5" spans="1:5" x14ac:dyDescent="0.25">
      <c r="A5" s="45" t="s">
        <v>19</v>
      </c>
      <c r="B5" s="51">
        <f>B2-B3-B4</f>
        <v>0</v>
      </c>
      <c r="C5" s="51">
        <f t="shared" ref="C5:D5" si="1">C2-C3-C4</f>
        <v>192304</v>
      </c>
      <c r="D5" s="51">
        <f t="shared" si="1"/>
        <v>192304</v>
      </c>
      <c r="E5" s="66">
        <f t="shared" si="0"/>
        <v>384608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"/>
  <sheetViews>
    <sheetView view="pageBreakPreview" zoomScale="70" zoomScaleNormal="130" zoomScaleSheetLayoutView="70" workbookViewId="0">
      <selection activeCell="J11" sqref="J11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70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>
        <f>+'JUNe Working'!D5</f>
        <v>4400000</v>
      </c>
      <c r="C4" s="7">
        <f>B4*B2/2</f>
        <v>22000</v>
      </c>
      <c r="D4" s="7">
        <f>B4*B2/2</f>
        <v>22000</v>
      </c>
      <c r="E4" s="34">
        <f>+'JUNe Working'!D4-'JUNe Working'!G4</f>
        <v>4000000</v>
      </c>
      <c r="F4" s="7">
        <f>E4*E2/2</f>
        <v>100000</v>
      </c>
      <c r="G4" s="7">
        <f>E4*E2/2</f>
        <v>100000</v>
      </c>
      <c r="H4" s="28"/>
      <c r="I4" s="7"/>
      <c r="J4" s="7"/>
      <c r="K4" s="34"/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v>0</v>
      </c>
      <c r="C5" s="7">
        <v>0</v>
      </c>
      <c r="D5" s="7">
        <v>0</v>
      </c>
      <c r="E5" s="34">
        <f>+'JUNe Working'!D13</f>
        <v>150000</v>
      </c>
      <c r="F5" s="7">
        <f>E5*E2/2</f>
        <v>3750</v>
      </c>
      <c r="G5" s="7">
        <f>E5*E2/2</f>
        <v>3750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/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125750</v>
      </c>
      <c r="D23" s="17">
        <f>+D4+G4+J4+M4+D5+G5+J5+M5</f>
        <v>125750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>
        <f>-(+B9/B4*100)+100</f>
        <v>100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8550000</v>
      </c>
      <c r="I28" s="37">
        <f>+H28+J15+L15</f>
        <v>8550000</v>
      </c>
    </row>
    <row r="29" spans="1:15" ht="30" customHeight="1" x14ac:dyDescent="0.25">
      <c r="A29" s="18" t="s">
        <v>33</v>
      </c>
      <c r="B29" s="19">
        <v>0</v>
      </c>
      <c r="C29" s="7">
        <v>696</v>
      </c>
      <c r="D29" s="7">
        <v>600</v>
      </c>
      <c r="E29" s="19"/>
      <c r="G29" s="16" t="s">
        <v>39</v>
      </c>
      <c r="H29" s="24">
        <f>+B9+E9+H9+K9+B19+D19+F19+H19</f>
        <v>0</v>
      </c>
      <c r="I29" s="37"/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125054</v>
      </c>
      <c r="D30" s="17">
        <f>+D23+D24-D25-D26-D27-D28-D29</f>
        <v>125150</v>
      </c>
      <c r="E30" s="17">
        <f>+E23+E24-E25-E26-E27-E28-E29</f>
        <v>0</v>
      </c>
      <c r="F30" s="38">
        <f>B30+C30+D30</f>
        <v>250204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125054</v>
      </c>
      <c r="D33" s="17">
        <f>IF(D30&lt;=0,0,IF(B30+B29&gt;=0,D30,IF(AND(D30&gt;0,B30+C30+B29&lt;0,C30&gt;0),MAX(0,D30+C30+B30+B29),IF(AND(D30&gt;0,B30&lt;0,C30&lt;=0),MAX(0,D30+B30+B29),D30))))</f>
        <v>125150</v>
      </c>
      <c r="E33" s="17">
        <f>IF(E30&lt;=0,0,E30)</f>
        <v>0</v>
      </c>
      <c r="F33" s="17">
        <f>SUM(B33:E33)</f>
        <v>250204</v>
      </c>
      <c r="I33" s="9" t="s">
        <v>28</v>
      </c>
      <c r="J33" s="20">
        <v>45402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45402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125054</v>
      </c>
      <c r="D35" s="17">
        <f>SUM(D33:D34)</f>
        <v>125150</v>
      </c>
      <c r="E35" s="17">
        <f>SUM(E33:E34)</f>
        <v>0</v>
      </c>
      <c r="F35" s="17">
        <f>SUM(B35:E35)</f>
        <v>250204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125054</v>
      </c>
      <c r="D37" s="16">
        <f>+D35+D36</f>
        <v>125150</v>
      </c>
      <c r="E37" s="16">
        <f>+E35+E36</f>
        <v>0</v>
      </c>
      <c r="F37" s="16">
        <f>SUMIF(B37:E37,"&gt;0")</f>
        <v>250204</v>
      </c>
      <c r="I37" s="1" t="s">
        <v>19</v>
      </c>
      <c r="J37" s="23">
        <f>F37+J36</f>
        <v>250204</v>
      </c>
      <c r="K37" s="23"/>
      <c r="L37" s="23"/>
      <c r="M37" s="23"/>
    </row>
  </sheetData>
  <sheetProtection password="C5DA" sheet="1" objects="1" scenarios="1" selectLockedCells="1"/>
  <mergeCells count="31">
    <mergeCell ref="A1:O1"/>
    <mergeCell ref="B2:D2"/>
    <mergeCell ref="E2:G2"/>
    <mergeCell ref="H2:J2"/>
    <mergeCell ref="K2:M2"/>
    <mergeCell ref="N2:O2"/>
    <mergeCell ref="B13:C13"/>
    <mergeCell ref="D13:E13"/>
    <mergeCell ref="F13:G13"/>
    <mergeCell ref="H13:I13"/>
    <mergeCell ref="J13:K13"/>
    <mergeCell ref="B7:D7"/>
    <mergeCell ref="E7:G7"/>
    <mergeCell ref="H7:J7"/>
    <mergeCell ref="K7:M7"/>
    <mergeCell ref="N7:O7"/>
    <mergeCell ref="B17:C17"/>
    <mergeCell ref="D17:E17"/>
    <mergeCell ref="F17:G17"/>
    <mergeCell ref="H17:I17"/>
    <mergeCell ref="J17:K17"/>
    <mergeCell ref="L13:M13"/>
    <mergeCell ref="J14:K14"/>
    <mergeCell ref="L14:M14"/>
    <mergeCell ref="J15:K15"/>
    <mergeCell ref="L15:M15"/>
    <mergeCell ref="L17:M17"/>
    <mergeCell ref="J18:K18"/>
    <mergeCell ref="L18:M18"/>
    <mergeCell ref="J19:K19"/>
    <mergeCell ref="L19:M19"/>
  </mergeCells>
  <pageMargins left="0.17" right="0.17" top="0.3" bottom="0.17" header="0.3" footer="0.17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workbookViewId="0">
      <selection activeCell="G16" sqref="G16"/>
    </sheetView>
  </sheetViews>
  <sheetFormatPr defaultRowHeight="15" x14ac:dyDescent="0.25"/>
  <cols>
    <col min="1" max="1" width="7.140625" bestFit="1" customWidth="1"/>
    <col min="2" max="2" width="9.85546875" bestFit="1" customWidth="1"/>
    <col min="3" max="3" width="35.42578125" bestFit="1" customWidth="1"/>
    <col min="4" max="4" width="23.5703125" bestFit="1" customWidth="1"/>
    <col min="5" max="5" width="10.5703125" bestFit="1" customWidth="1"/>
    <col min="6" max="6" width="12.140625" bestFit="1" customWidth="1"/>
    <col min="7" max="7" width="21.7109375" bestFit="1" customWidth="1"/>
    <col min="8" max="8" width="28" bestFit="1" customWidth="1"/>
    <col min="9" max="9" width="15.5703125" bestFit="1" customWidth="1"/>
    <col min="11" max="11" width="11.5703125" style="68" bestFit="1" customWidth="1"/>
  </cols>
  <sheetData>
    <row r="1" spans="1:9" ht="21" x14ac:dyDescent="0.35">
      <c r="D1" s="106" t="s">
        <v>80</v>
      </c>
      <c r="E1" s="106"/>
      <c r="F1" s="106"/>
      <c r="G1" s="106"/>
      <c r="H1" s="106"/>
    </row>
    <row r="3" spans="1:9" ht="15.75" x14ac:dyDescent="0.25">
      <c r="A3" s="59" t="s">
        <v>81</v>
      </c>
      <c r="B3" s="59" t="s">
        <v>54</v>
      </c>
      <c r="C3" s="69" t="s">
        <v>55</v>
      </c>
      <c r="D3" s="69" t="s">
        <v>56</v>
      </c>
      <c r="E3" s="69" t="s">
        <v>49</v>
      </c>
      <c r="F3" s="69" t="s">
        <v>64</v>
      </c>
      <c r="G3" s="69" t="s">
        <v>57</v>
      </c>
      <c r="H3" s="69" t="s">
        <v>58</v>
      </c>
      <c r="I3" s="69" t="s">
        <v>82</v>
      </c>
    </row>
    <row r="4" spans="1:9" x14ac:dyDescent="0.25">
      <c r="A4">
        <v>1</v>
      </c>
      <c r="B4">
        <v>106</v>
      </c>
      <c r="C4" s="70" t="s">
        <v>83</v>
      </c>
      <c r="D4" s="87">
        <v>7500000</v>
      </c>
      <c r="E4" s="87"/>
      <c r="F4" s="87">
        <f>D4*5%</f>
        <v>375000</v>
      </c>
      <c r="G4" s="92">
        <v>3500000</v>
      </c>
      <c r="H4">
        <f>G4*5%</f>
        <v>175000</v>
      </c>
      <c r="I4" s="87">
        <f>F4-H4</f>
        <v>200000</v>
      </c>
    </row>
    <row r="5" spans="1:9" x14ac:dyDescent="0.25">
      <c r="A5">
        <v>2</v>
      </c>
      <c r="B5" s="67">
        <v>504</v>
      </c>
      <c r="C5" s="71" t="s">
        <v>114</v>
      </c>
      <c r="D5" s="87">
        <v>4400000</v>
      </c>
      <c r="E5" s="87">
        <f>+D5*1%</f>
        <v>44000</v>
      </c>
      <c r="F5" s="87"/>
      <c r="H5">
        <f>G5*5%</f>
        <v>0</v>
      </c>
      <c r="I5" s="87">
        <f>E5-H5</f>
        <v>44000</v>
      </c>
    </row>
    <row r="6" spans="1:9" x14ac:dyDescent="0.25">
      <c r="A6">
        <v>3</v>
      </c>
      <c r="B6" s="67"/>
      <c r="C6" s="71"/>
      <c r="D6" s="87"/>
      <c r="E6" s="87"/>
      <c r="F6" s="87">
        <f>D6*1%</f>
        <v>0</v>
      </c>
      <c r="H6">
        <f>G6*5%</f>
        <v>0</v>
      </c>
      <c r="I6" s="87">
        <f>F6-H6</f>
        <v>0</v>
      </c>
    </row>
    <row r="7" spans="1:9" x14ac:dyDescent="0.25">
      <c r="A7" s="59"/>
      <c r="B7" s="59"/>
      <c r="C7" s="59"/>
      <c r="D7" s="59"/>
      <c r="E7" s="59">
        <v>0</v>
      </c>
      <c r="F7" s="59">
        <v>0</v>
      </c>
      <c r="G7" s="59"/>
      <c r="H7" s="59">
        <v>0</v>
      </c>
      <c r="I7" s="91">
        <f>SUM(I4:I6)</f>
        <v>244000</v>
      </c>
    </row>
    <row r="8" spans="1:9" x14ac:dyDescent="0.25">
      <c r="I8" s="87"/>
    </row>
    <row r="9" spans="1:9" x14ac:dyDescent="0.25">
      <c r="I9" s="87"/>
    </row>
    <row r="10" spans="1:9" ht="23.25" x14ac:dyDescent="0.35">
      <c r="D10" s="109" t="s">
        <v>61</v>
      </c>
      <c r="E10" s="109"/>
      <c r="F10" s="109"/>
      <c r="G10" s="109"/>
      <c r="H10" s="109"/>
      <c r="I10" s="87"/>
    </row>
    <row r="12" spans="1:9" x14ac:dyDescent="0.25">
      <c r="B12" t="s">
        <v>54</v>
      </c>
      <c r="C12" s="67" t="s">
        <v>51</v>
      </c>
      <c r="D12" s="67" t="s">
        <v>84</v>
      </c>
      <c r="E12" s="67" t="s">
        <v>49</v>
      </c>
      <c r="F12" s="67" t="s">
        <v>64</v>
      </c>
    </row>
    <row r="13" spans="1:9" x14ac:dyDescent="0.25">
      <c r="B13">
        <v>1105</v>
      </c>
      <c r="C13" t="s">
        <v>85</v>
      </c>
      <c r="D13">
        <v>150000</v>
      </c>
      <c r="E13" s="73"/>
      <c r="F13" s="73">
        <f>D13*5%</f>
        <v>7500</v>
      </c>
    </row>
    <row r="14" spans="1:9" x14ac:dyDescent="0.25">
      <c r="F14" s="73">
        <f>D14*5%</f>
        <v>0</v>
      </c>
    </row>
    <row r="15" spans="1:9" x14ac:dyDescent="0.25">
      <c r="C15" s="70"/>
      <c r="E15" s="73"/>
      <c r="F15" s="73">
        <f>D15*5%</f>
        <v>0</v>
      </c>
    </row>
    <row r="16" spans="1:9" x14ac:dyDescent="0.25">
      <c r="C16" s="70"/>
      <c r="E16" s="73"/>
      <c r="F16" s="73">
        <f>D16*5%</f>
        <v>0</v>
      </c>
    </row>
    <row r="17" spans="2:13" x14ac:dyDescent="0.25">
      <c r="E17" s="74">
        <f>SUM(E13:E16)</f>
        <v>0</v>
      </c>
      <c r="F17" s="74">
        <f>SUM(F13:F16)</f>
        <v>7500</v>
      </c>
      <c r="G17" s="75">
        <v>0</v>
      </c>
      <c r="H17" s="75">
        <f>I7+E17+F17</f>
        <v>251500</v>
      </c>
      <c r="I17" s="75"/>
    </row>
    <row r="18" spans="2:13" x14ac:dyDescent="0.25">
      <c r="H18">
        <f>+H17/2</f>
        <v>125750</v>
      </c>
    </row>
    <row r="20" spans="2:13" x14ac:dyDescent="0.25">
      <c r="B20" s="93" t="s">
        <v>115</v>
      </c>
      <c r="C20" s="92"/>
      <c r="D20" s="92"/>
      <c r="E20" s="92"/>
      <c r="F20" s="92"/>
      <c r="G20" s="92"/>
      <c r="H20" s="92"/>
      <c r="I20" s="92"/>
      <c r="J20" s="92"/>
      <c r="K20" s="94"/>
      <c r="L20" s="92"/>
      <c r="M20" s="92"/>
    </row>
  </sheetData>
  <mergeCells count="2">
    <mergeCell ref="D1:H1"/>
    <mergeCell ref="D10:H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7"/>
  <sheetViews>
    <sheetView view="pageBreakPreview" zoomScale="70" zoomScaleNormal="130" zoomScaleSheetLayoutView="70" workbookViewId="0">
      <selection activeCell="G10" sqref="G10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86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>
        <v>50000</v>
      </c>
      <c r="C4" s="7">
        <f>B4*B2/2</f>
        <v>250</v>
      </c>
      <c r="D4" s="7">
        <f>B4*B2/2</f>
        <v>250</v>
      </c>
      <c r="E4" s="34">
        <v>5550000</v>
      </c>
      <c r="F4" s="7">
        <f>E4*E2/2</f>
        <v>138750</v>
      </c>
      <c r="G4" s="7">
        <f>E4*E2/2</f>
        <v>138750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v>0</v>
      </c>
      <c r="C5" s="7">
        <v>0</v>
      </c>
      <c r="D5" s="7">
        <v>0</v>
      </c>
      <c r="E5" s="34">
        <v>0</v>
      </c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139000</v>
      </c>
      <c r="D23" s="17">
        <f>+D4+G4+J4+M4+D5+G5+J5+M5</f>
        <v>139000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>
        <f>-(+B9/B4*100)+100</f>
        <v>100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5600000</v>
      </c>
      <c r="I28" s="37">
        <f>+H28+J15+L15</f>
        <v>5600000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139000</v>
      </c>
      <c r="D30" s="17">
        <f>+D23+D24-D25-D26-D27-D28-D29</f>
        <v>139000</v>
      </c>
      <c r="E30" s="17">
        <f>+E23+E24-E25-E26-E27-E28-E29</f>
        <v>0</v>
      </c>
      <c r="F30" s="38">
        <f>B30+C30+D30</f>
        <v>278000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139000</v>
      </c>
      <c r="D33" s="17">
        <f>IF(D30&lt;=0,0,IF(B30+B29&gt;=0,D30,IF(AND(D30&gt;0,B30+C30+B29&lt;0,C30&gt;0),MAX(0,D30+C30+B30+B29),IF(AND(D30&gt;0,B30&lt;0,C30&lt;=0),MAX(0,D30+B30+B29),D30))))</f>
        <v>139000</v>
      </c>
      <c r="E33" s="17">
        <f>IF(E30&lt;=0,0,E30)</f>
        <v>0</v>
      </c>
      <c r="F33" s="17">
        <f>SUM(B33:E33)</f>
        <v>278000</v>
      </c>
      <c r="I33" s="9" t="s">
        <v>28</v>
      </c>
      <c r="J33" s="20">
        <v>45402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45402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139000</v>
      </c>
      <c r="D35" s="17">
        <f>SUM(D33:D34)</f>
        <v>139000</v>
      </c>
      <c r="E35" s="17">
        <f>SUM(E33:E34)</f>
        <v>0</v>
      </c>
      <c r="F35" s="17">
        <f>SUM(B35:E35)</f>
        <v>278000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139000</v>
      </c>
      <c r="D37" s="16">
        <f>+D35+D36</f>
        <v>139000</v>
      </c>
      <c r="E37" s="16">
        <f>+E35+E36</f>
        <v>0</v>
      </c>
      <c r="F37" s="16">
        <f>SUMIF(B37:E37,"&gt;0")</f>
        <v>278000</v>
      </c>
      <c r="I37" s="1" t="s">
        <v>19</v>
      </c>
      <c r="J37" s="23">
        <f>F37+J36</f>
        <v>278000</v>
      </c>
      <c r="K37" s="23"/>
      <c r="L37" s="23"/>
      <c r="M37" s="23"/>
    </row>
  </sheetData>
  <sheetProtection password="C5DA" sheet="1" objects="1" scenarios="1" selectLockedCells="1"/>
  <mergeCells count="31">
    <mergeCell ref="A1:O1"/>
    <mergeCell ref="B2:D2"/>
    <mergeCell ref="E2:G2"/>
    <mergeCell ref="H2:J2"/>
    <mergeCell ref="K2:M2"/>
    <mergeCell ref="N2:O2"/>
    <mergeCell ref="B13:C13"/>
    <mergeCell ref="D13:E13"/>
    <mergeCell ref="F13:G13"/>
    <mergeCell ref="H13:I13"/>
    <mergeCell ref="J13:K13"/>
    <mergeCell ref="B7:D7"/>
    <mergeCell ref="E7:G7"/>
    <mergeCell ref="H7:J7"/>
    <mergeCell ref="K7:M7"/>
    <mergeCell ref="N7:O7"/>
    <mergeCell ref="B17:C17"/>
    <mergeCell ref="D17:E17"/>
    <mergeCell ref="F17:G17"/>
    <mergeCell ref="H17:I17"/>
    <mergeCell ref="J17:K17"/>
    <mergeCell ref="L13:M13"/>
    <mergeCell ref="J14:K14"/>
    <mergeCell ref="L14:M14"/>
    <mergeCell ref="J15:K15"/>
    <mergeCell ref="L15:M15"/>
    <mergeCell ref="L17:M17"/>
    <mergeCell ref="J18:K18"/>
    <mergeCell ref="L18:M18"/>
    <mergeCell ref="J19:K19"/>
    <mergeCell ref="L19:M19"/>
  </mergeCells>
  <pageMargins left="0.17" right="0.17" top="0.3" bottom="0.17" header="0.3" footer="0.17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workbookViewId="0">
      <selection activeCell="B15" sqref="B15"/>
    </sheetView>
  </sheetViews>
  <sheetFormatPr defaultRowHeight="15" x14ac:dyDescent="0.25"/>
  <cols>
    <col min="1" max="1" width="7.140625" bestFit="1" customWidth="1"/>
    <col min="2" max="2" width="9.85546875" bestFit="1" customWidth="1"/>
    <col min="3" max="3" width="35.42578125" bestFit="1" customWidth="1"/>
    <col min="4" max="4" width="23.42578125" bestFit="1" customWidth="1"/>
    <col min="5" max="5" width="8.140625" bestFit="1" customWidth="1"/>
    <col min="6" max="6" width="9" bestFit="1" customWidth="1"/>
    <col min="7" max="7" width="21.7109375" bestFit="1" customWidth="1"/>
    <col min="8" max="8" width="28" bestFit="1" customWidth="1"/>
    <col min="9" max="9" width="15.5703125" bestFit="1" customWidth="1"/>
    <col min="11" max="11" width="11.5703125" style="68" bestFit="1" customWidth="1"/>
  </cols>
  <sheetData>
    <row r="1" spans="1:13" ht="21" x14ac:dyDescent="0.35">
      <c r="D1" s="106" t="s">
        <v>80</v>
      </c>
      <c r="E1" s="106"/>
      <c r="F1" s="106"/>
      <c r="G1" s="106"/>
      <c r="H1" s="106"/>
    </row>
    <row r="3" spans="1:13" ht="15.75" x14ac:dyDescent="0.25">
      <c r="A3" s="59" t="s">
        <v>81</v>
      </c>
      <c r="B3" s="59" t="s">
        <v>54</v>
      </c>
      <c r="C3" s="69" t="s">
        <v>55</v>
      </c>
      <c r="D3" s="69" t="s">
        <v>56</v>
      </c>
      <c r="E3" s="69" t="s">
        <v>49</v>
      </c>
      <c r="F3" s="69" t="s">
        <v>64</v>
      </c>
      <c r="G3" s="69" t="s">
        <v>57</v>
      </c>
      <c r="H3" s="69" t="s">
        <v>58</v>
      </c>
      <c r="I3" s="69" t="s">
        <v>82</v>
      </c>
    </row>
    <row r="4" spans="1:13" x14ac:dyDescent="0.25">
      <c r="A4">
        <v>1</v>
      </c>
      <c r="B4">
        <v>1105</v>
      </c>
      <c r="C4" s="70" t="s">
        <v>85</v>
      </c>
      <c r="D4">
        <v>5650000</v>
      </c>
      <c r="F4">
        <f>D4*5%</f>
        <v>282500</v>
      </c>
      <c r="G4">
        <v>150000</v>
      </c>
      <c r="H4">
        <f>G4*5%</f>
        <v>7500</v>
      </c>
      <c r="I4">
        <f>F4-H4</f>
        <v>275000</v>
      </c>
    </row>
    <row r="5" spans="1:13" x14ac:dyDescent="0.25">
      <c r="A5" s="59"/>
      <c r="B5" s="59"/>
      <c r="C5" s="59"/>
      <c r="D5" s="59"/>
      <c r="E5" s="59">
        <v>0</v>
      </c>
      <c r="F5" s="59">
        <v>0</v>
      </c>
      <c r="G5" s="59"/>
      <c r="H5" s="59">
        <v>0</v>
      </c>
      <c r="I5" s="59">
        <f>SUM(I4:I4)</f>
        <v>275000</v>
      </c>
    </row>
    <row r="7" spans="1:13" ht="23.25" x14ac:dyDescent="0.35">
      <c r="D7" s="109" t="s">
        <v>61</v>
      </c>
      <c r="E7" s="109"/>
      <c r="F7" s="109"/>
      <c r="G7" s="109"/>
      <c r="H7" s="109"/>
    </row>
    <row r="8" spans="1:13" x14ac:dyDescent="0.25">
      <c r="B8" t="s">
        <v>54</v>
      </c>
      <c r="C8" s="67" t="s">
        <v>51</v>
      </c>
      <c r="D8" s="67" t="s">
        <v>84</v>
      </c>
      <c r="E8" s="67" t="s">
        <v>49</v>
      </c>
      <c r="F8" s="67" t="s">
        <v>64</v>
      </c>
    </row>
    <row r="9" spans="1:13" x14ac:dyDescent="0.25">
      <c r="B9">
        <v>1605</v>
      </c>
      <c r="C9" t="s">
        <v>89</v>
      </c>
      <c r="D9">
        <v>50000</v>
      </c>
      <c r="E9" s="73">
        <f>D9*1%</f>
        <v>500</v>
      </c>
      <c r="F9" s="73">
        <v>0</v>
      </c>
    </row>
    <row r="10" spans="1:13" x14ac:dyDescent="0.25">
      <c r="B10">
        <v>1509</v>
      </c>
      <c r="C10" t="s">
        <v>90</v>
      </c>
      <c r="D10">
        <v>50000</v>
      </c>
      <c r="F10" s="73">
        <f>D10*5%</f>
        <v>2500</v>
      </c>
    </row>
    <row r="11" spans="1:13" x14ac:dyDescent="0.25">
      <c r="C11" s="70"/>
      <c r="E11" s="73"/>
      <c r="F11" s="73">
        <f>D11*5%</f>
        <v>0</v>
      </c>
    </row>
    <row r="12" spans="1:13" x14ac:dyDescent="0.25">
      <c r="C12" s="70"/>
      <c r="E12" s="73"/>
      <c r="F12" s="73">
        <f>D12*5%</f>
        <v>0</v>
      </c>
    </row>
    <row r="13" spans="1:13" x14ac:dyDescent="0.25">
      <c r="E13" s="74">
        <f>SUM(E9:E12)</f>
        <v>500</v>
      </c>
      <c r="F13" s="74">
        <f>SUM(F9:F12)</f>
        <v>2500</v>
      </c>
      <c r="G13" s="75">
        <v>0</v>
      </c>
      <c r="H13" s="75">
        <f>I5+E13+F13</f>
        <v>278000</v>
      </c>
    </row>
    <row r="15" spans="1:13" x14ac:dyDescent="0.25">
      <c r="B15" s="93" t="s">
        <v>115</v>
      </c>
      <c r="C15" s="92"/>
      <c r="D15" s="92"/>
      <c r="E15" s="92"/>
      <c r="F15" s="92"/>
      <c r="G15" s="92"/>
      <c r="H15" s="92"/>
      <c r="I15" s="92"/>
      <c r="J15" s="92"/>
      <c r="K15" s="94"/>
      <c r="L15" s="92"/>
      <c r="M15" s="92"/>
    </row>
  </sheetData>
  <mergeCells count="2">
    <mergeCell ref="D1:H1"/>
    <mergeCell ref="D7:H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7"/>
  <sheetViews>
    <sheetView view="pageBreakPreview" zoomScale="70" zoomScaleNormal="130" zoomScaleSheetLayoutView="70" workbookViewId="0">
      <selection activeCell="F4" sqref="F4:G4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88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/>
      <c r="C4" s="7">
        <f>B4*B2/2</f>
        <v>0</v>
      </c>
      <c r="D4" s="7">
        <f>B4*B2/2</f>
        <v>0</v>
      </c>
      <c r="E4" s="34">
        <f>+'Aug Working'!D13</f>
        <v>100001</v>
      </c>
      <c r="F4" s="7">
        <f>E4*E2/2</f>
        <v>2500.0250000000001</v>
      </c>
      <c r="G4" s="7">
        <f>E4*E2/2</f>
        <v>2500.0250000000001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v>0</v>
      </c>
      <c r="C5" s="7">
        <v>0</v>
      </c>
      <c r="D5" s="7">
        <v>0</v>
      </c>
      <c r="E5" s="34">
        <v>0</v>
      </c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2500.0250000000001</v>
      </c>
      <c r="D23" s="17">
        <f>+D4+G4+J4+M4+D5+G5+J5+M5</f>
        <v>2500.0250000000001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 t="e">
        <f>-(+B9/B4*100)+100</f>
        <v>#DIV/0!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100001</v>
      </c>
      <c r="I28" s="37">
        <f>+H28+J15+L15</f>
        <v>100001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2500.0250000000001</v>
      </c>
      <c r="D30" s="17">
        <f>+D23+D24-D25-D26-D27-D28-D29</f>
        <v>2500.0250000000001</v>
      </c>
      <c r="E30" s="17">
        <f>+E23+E24-E25-E26-E27-E28-E29</f>
        <v>0</v>
      </c>
      <c r="F30" s="38">
        <f>B30+C30+D30</f>
        <v>5000.05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2500.0250000000001</v>
      </c>
      <c r="D33" s="17">
        <f>IF(D30&lt;=0,0,IF(B30+B29&gt;=0,D30,IF(AND(D30&gt;0,B30+C30+B29&lt;0,C30&gt;0),MAX(0,D30+C30+B30+B29),IF(AND(D30&gt;0,B30&lt;0,C30&lt;=0),MAX(0,D30+B30+B29),D30))))</f>
        <v>2500.0250000000001</v>
      </c>
      <c r="E33" s="17">
        <f>IF(E30&lt;=0,0,E30)</f>
        <v>0</v>
      </c>
      <c r="F33" s="17">
        <f>SUM(B33:E33)</f>
        <v>5000.05</v>
      </c>
      <c r="I33" s="9" t="s">
        <v>28</v>
      </c>
      <c r="J33" s="20">
        <v>45524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45524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2500.0250000000001</v>
      </c>
      <c r="D35" s="17">
        <f>SUM(D33:D34)</f>
        <v>2500.0250000000001</v>
      </c>
      <c r="E35" s="17">
        <f>SUM(E33:E34)</f>
        <v>0</v>
      </c>
      <c r="F35" s="17">
        <f>SUM(B35:E35)</f>
        <v>5000.05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2500.0250000000001</v>
      </c>
      <c r="D37" s="16">
        <f>+D35+D36</f>
        <v>2500.0250000000001</v>
      </c>
      <c r="E37" s="16">
        <f>+E35+E36</f>
        <v>0</v>
      </c>
      <c r="F37" s="16">
        <f>SUMIF(B37:E37,"&gt;0")</f>
        <v>5000.05</v>
      </c>
      <c r="I37" s="1" t="s">
        <v>19</v>
      </c>
      <c r="J37" s="23">
        <f>F37+J36</f>
        <v>5000.05</v>
      </c>
      <c r="K37" s="23"/>
      <c r="L37" s="23"/>
      <c r="M37" s="23"/>
    </row>
  </sheetData>
  <sheetProtection password="C5DA" sheet="1" objects="1" scenarios="1" selectLockedCells="1"/>
  <mergeCells count="31">
    <mergeCell ref="A1:O1"/>
    <mergeCell ref="B2:D2"/>
    <mergeCell ref="E2:G2"/>
    <mergeCell ref="H2:J2"/>
    <mergeCell ref="K2:M2"/>
    <mergeCell ref="N2:O2"/>
    <mergeCell ref="B13:C13"/>
    <mergeCell ref="D13:E13"/>
    <mergeCell ref="F13:G13"/>
    <mergeCell ref="H13:I13"/>
    <mergeCell ref="J13:K13"/>
    <mergeCell ref="B7:D7"/>
    <mergeCell ref="E7:G7"/>
    <mergeCell ref="H7:J7"/>
    <mergeCell ref="K7:M7"/>
    <mergeCell ref="N7:O7"/>
    <mergeCell ref="B17:C17"/>
    <mergeCell ref="D17:E17"/>
    <mergeCell ref="F17:G17"/>
    <mergeCell ref="H17:I17"/>
    <mergeCell ref="J17:K17"/>
    <mergeCell ref="L13:M13"/>
    <mergeCell ref="J14:K14"/>
    <mergeCell ref="L14:M14"/>
    <mergeCell ref="J15:K15"/>
    <mergeCell ref="L15:M15"/>
    <mergeCell ref="L17:M17"/>
    <mergeCell ref="J18:K18"/>
    <mergeCell ref="L18:M18"/>
    <mergeCell ref="J19:K19"/>
    <mergeCell ref="L19:M19"/>
  </mergeCells>
  <pageMargins left="0.17" right="0.17" top="0.3" bottom="0.17" header="0.3" footer="0.17"/>
  <pageSetup paperSize="9" scale="5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"/>
  <sheetViews>
    <sheetView workbookViewId="0">
      <selection activeCell="H17" sqref="H17"/>
    </sheetView>
  </sheetViews>
  <sheetFormatPr defaultRowHeight="15" x14ac:dyDescent="0.25"/>
  <cols>
    <col min="1" max="1" width="7.140625" bestFit="1" customWidth="1"/>
    <col min="2" max="2" width="9.85546875" bestFit="1" customWidth="1"/>
    <col min="3" max="3" width="35.42578125" bestFit="1" customWidth="1"/>
    <col min="4" max="4" width="23.42578125" bestFit="1" customWidth="1"/>
    <col min="5" max="5" width="8.140625" bestFit="1" customWidth="1"/>
    <col min="6" max="6" width="9" bestFit="1" customWidth="1"/>
    <col min="7" max="7" width="21.7109375" bestFit="1" customWidth="1"/>
    <col min="8" max="8" width="28" bestFit="1" customWidth="1"/>
    <col min="9" max="9" width="15.5703125" bestFit="1" customWidth="1"/>
    <col min="11" max="11" width="11.5703125" style="68" bestFit="1" customWidth="1"/>
  </cols>
  <sheetData>
    <row r="1" spans="1:9" ht="21" x14ac:dyDescent="0.35">
      <c r="D1" s="106" t="s">
        <v>80</v>
      </c>
      <c r="E1" s="106"/>
      <c r="F1" s="106"/>
      <c r="G1" s="106"/>
      <c r="H1" s="106"/>
    </row>
    <row r="3" spans="1:9" ht="15.75" x14ac:dyDescent="0.25">
      <c r="A3" s="59" t="s">
        <v>81</v>
      </c>
      <c r="B3" s="59" t="s">
        <v>54</v>
      </c>
      <c r="C3" s="69" t="s">
        <v>55</v>
      </c>
      <c r="D3" s="69" t="s">
        <v>56</v>
      </c>
      <c r="E3" s="69" t="s">
        <v>49</v>
      </c>
      <c r="F3" s="69" t="s">
        <v>64</v>
      </c>
      <c r="G3" s="69" t="s">
        <v>57</v>
      </c>
      <c r="H3" s="69" t="s">
        <v>58</v>
      </c>
      <c r="I3" s="69" t="s">
        <v>82</v>
      </c>
    </row>
    <row r="4" spans="1:9" x14ac:dyDescent="0.25">
      <c r="A4">
        <v>1</v>
      </c>
      <c r="C4" s="70"/>
      <c r="F4">
        <f>D4*5%</f>
        <v>0</v>
      </c>
      <c r="G4">
        <v>0</v>
      </c>
      <c r="H4">
        <f>G4*5%</f>
        <v>0</v>
      </c>
      <c r="I4">
        <f>F4-H4</f>
        <v>0</v>
      </c>
    </row>
    <row r="5" spans="1:9" x14ac:dyDescent="0.25">
      <c r="A5">
        <v>2</v>
      </c>
      <c r="B5" s="67"/>
      <c r="C5" s="71"/>
      <c r="E5">
        <v>0</v>
      </c>
      <c r="F5">
        <f>D5*5%</f>
        <v>0</v>
      </c>
      <c r="H5">
        <f>G5*5%</f>
        <v>0</v>
      </c>
      <c r="I5">
        <f>F5-H5</f>
        <v>0</v>
      </c>
    </row>
    <row r="6" spans="1:9" x14ac:dyDescent="0.25">
      <c r="A6">
        <v>3</v>
      </c>
      <c r="B6" s="67"/>
      <c r="C6" s="71"/>
      <c r="D6" s="72"/>
      <c r="F6">
        <f>D6*1%</f>
        <v>0</v>
      </c>
      <c r="H6">
        <f>G6*5%</f>
        <v>0</v>
      </c>
      <c r="I6">
        <f>F6-H6</f>
        <v>0</v>
      </c>
    </row>
    <row r="7" spans="1:9" x14ac:dyDescent="0.25">
      <c r="A7" s="59"/>
      <c r="B7" s="59"/>
      <c r="C7" s="59"/>
      <c r="D7" s="59"/>
      <c r="E7" s="59">
        <v>0</v>
      </c>
      <c r="F7" s="59">
        <v>0</v>
      </c>
      <c r="G7" s="59"/>
      <c r="H7" s="59">
        <v>0</v>
      </c>
      <c r="I7" s="59">
        <f>SUM(I4:I6)</f>
        <v>0</v>
      </c>
    </row>
    <row r="10" spans="1:9" ht="23.25" x14ac:dyDescent="0.35">
      <c r="D10" s="109" t="s">
        <v>61</v>
      </c>
      <c r="E10" s="109"/>
      <c r="F10" s="109"/>
      <c r="G10" s="109"/>
      <c r="H10" s="109"/>
    </row>
    <row r="12" spans="1:9" x14ac:dyDescent="0.25">
      <c r="B12" t="s">
        <v>54</v>
      </c>
      <c r="C12" s="67" t="s">
        <v>51</v>
      </c>
      <c r="D12" s="67" t="s">
        <v>84</v>
      </c>
      <c r="E12" s="67" t="s">
        <v>49</v>
      </c>
      <c r="F12" s="67" t="s">
        <v>64</v>
      </c>
    </row>
    <row r="13" spans="1:9" x14ac:dyDescent="0.25">
      <c r="B13">
        <v>708</v>
      </c>
      <c r="C13" t="s">
        <v>87</v>
      </c>
      <c r="D13">
        <v>100001</v>
      </c>
      <c r="E13" s="73">
        <v>0</v>
      </c>
      <c r="F13" s="73">
        <f>D13*5%</f>
        <v>5000.05</v>
      </c>
    </row>
    <row r="14" spans="1:9" x14ac:dyDescent="0.25">
      <c r="F14" s="73">
        <f>D14*5%</f>
        <v>0</v>
      </c>
    </row>
    <row r="15" spans="1:9" x14ac:dyDescent="0.25">
      <c r="C15" s="70"/>
      <c r="E15" s="73"/>
      <c r="F15" s="73">
        <f>D15*5%</f>
        <v>0</v>
      </c>
    </row>
    <row r="16" spans="1:9" x14ac:dyDescent="0.25">
      <c r="C16" s="70"/>
      <c r="E16" s="73"/>
      <c r="F16" s="73">
        <f>D16*5%</f>
        <v>0</v>
      </c>
    </row>
    <row r="17" spans="5:8" x14ac:dyDescent="0.25">
      <c r="E17" s="74">
        <f>SUM(E13:E16)</f>
        <v>0</v>
      </c>
      <c r="F17" s="74">
        <f>SUM(F13:F16)</f>
        <v>5000.05</v>
      </c>
      <c r="G17" s="75">
        <v>0</v>
      </c>
      <c r="H17" s="75">
        <f>I7+E17+F17</f>
        <v>5000.05</v>
      </c>
    </row>
  </sheetData>
  <mergeCells count="2">
    <mergeCell ref="D1:H1"/>
    <mergeCell ref="D10:H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7"/>
  <sheetViews>
    <sheetView view="pageBreakPreview" zoomScale="70" zoomScaleNormal="130" zoomScaleSheetLayoutView="70" workbookViewId="0">
      <selection activeCell="F4" sqref="F4:G4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91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/>
      <c r="C4" s="7">
        <f>B4*B2/2</f>
        <v>0</v>
      </c>
      <c r="D4" s="7">
        <f>B4*B2/2</f>
        <v>0</v>
      </c>
      <c r="E4" s="34">
        <f>+'Sept Working'!D4-'Sept Working'!G4+'Sept Working'!D13+'Sept Working'!D14</f>
        <v>8985739</v>
      </c>
      <c r="F4" s="7">
        <f>E4*E2/2</f>
        <v>224643.47500000001</v>
      </c>
      <c r="G4" s="7">
        <f>E4*E2/2</f>
        <v>224643.47500000001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v>0</v>
      </c>
      <c r="C5" s="7">
        <v>0</v>
      </c>
      <c r="D5" s="7">
        <v>0</v>
      </c>
      <c r="E5" s="34">
        <v>0</v>
      </c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224643.47500000001</v>
      </c>
      <c r="D23" s="17">
        <f>+D4+G4+J4+M4+D5+G5+J5+M5</f>
        <v>224643.47500000001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 t="e">
        <f>-(+B9/B4*100)+100</f>
        <v>#DIV/0!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8985739</v>
      </c>
      <c r="I28" s="37">
        <f>+H28+J15+L15</f>
        <v>8985739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224643.47500000001</v>
      </c>
      <c r="D30" s="17">
        <f>+D23+D24-D25-D26-D27-D28-D29</f>
        <v>224643.47500000001</v>
      </c>
      <c r="E30" s="17">
        <f>+E23+E24-E25-E26-E27-E28-E29</f>
        <v>0</v>
      </c>
      <c r="F30" s="38">
        <f>B30+C30+D30</f>
        <v>449286.95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224643.47500000001</v>
      </c>
      <c r="D33" s="17">
        <f>IF(D30&lt;=0,0,IF(B30+B29&gt;=0,D30,IF(AND(D30&gt;0,B30+C30+B29&lt;0,C30&gt;0),MAX(0,D30+C30+B30+B29),IF(AND(D30&gt;0,B30&lt;0,C30&lt;=0),MAX(0,D30+B30+B29),D30))))</f>
        <v>224643.47500000001</v>
      </c>
      <c r="E33" s="17">
        <f>IF(E30&lt;=0,0,E30)</f>
        <v>0</v>
      </c>
      <c r="F33" s="17">
        <f>SUM(B33:E33)</f>
        <v>449286.95</v>
      </c>
      <c r="I33" s="9" t="s">
        <v>28</v>
      </c>
      <c r="J33" s="20">
        <v>45524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45524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224643.47500000001</v>
      </c>
      <c r="D35" s="17">
        <f>SUM(D33:D34)</f>
        <v>224643.47500000001</v>
      </c>
      <c r="E35" s="17">
        <f>SUM(E33:E34)</f>
        <v>0</v>
      </c>
      <c r="F35" s="17">
        <f>SUM(B35:E35)</f>
        <v>449286.95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224643.47500000001</v>
      </c>
      <c r="D37" s="16">
        <f>+D35+D36</f>
        <v>224643.47500000001</v>
      </c>
      <c r="E37" s="16">
        <f>+E35+E36</f>
        <v>0</v>
      </c>
      <c r="F37" s="16">
        <f>SUMIF(B37:E37,"&gt;0")</f>
        <v>449286.95</v>
      </c>
      <c r="I37" s="1" t="s">
        <v>19</v>
      </c>
      <c r="J37" s="23">
        <f>F37+J36</f>
        <v>449286.95</v>
      </c>
      <c r="K37" s="23"/>
      <c r="L37" s="23"/>
      <c r="M37" s="23"/>
    </row>
  </sheetData>
  <sheetProtection password="C5DA" sheet="1" objects="1" scenarios="1" selectLockedCells="1"/>
  <mergeCells count="31">
    <mergeCell ref="L17:M17"/>
    <mergeCell ref="J18:K18"/>
    <mergeCell ref="L18:M18"/>
    <mergeCell ref="J19:K19"/>
    <mergeCell ref="L19:M19"/>
    <mergeCell ref="L13:M13"/>
    <mergeCell ref="J14:K14"/>
    <mergeCell ref="L14:M14"/>
    <mergeCell ref="J15:K15"/>
    <mergeCell ref="L15:M15"/>
    <mergeCell ref="B17:C17"/>
    <mergeCell ref="D17:E17"/>
    <mergeCell ref="F17:G17"/>
    <mergeCell ref="H17:I17"/>
    <mergeCell ref="J17:K17"/>
    <mergeCell ref="B7:D7"/>
    <mergeCell ref="E7:G7"/>
    <mergeCell ref="H7:J7"/>
    <mergeCell ref="K7:M7"/>
    <mergeCell ref="N7:O7"/>
    <mergeCell ref="B13:C13"/>
    <mergeCell ref="D13:E13"/>
    <mergeCell ref="F13:G13"/>
    <mergeCell ref="H13:I13"/>
    <mergeCell ref="J13:K13"/>
    <mergeCell ref="A1:O1"/>
    <mergeCell ref="B2:D2"/>
    <mergeCell ref="E2:G2"/>
    <mergeCell ref="H2:J2"/>
    <mergeCell ref="K2:M2"/>
    <mergeCell ref="N2:O2"/>
  </mergeCells>
  <pageMargins left="0.17" right="0.17" top="0.3" bottom="0.17" header="0.3" footer="0.17"/>
  <pageSetup paperSize="9" scale="5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7"/>
  <sheetViews>
    <sheetView workbookViewId="0">
      <selection activeCell="H12" sqref="H12"/>
    </sheetView>
  </sheetViews>
  <sheetFormatPr defaultRowHeight="15" x14ac:dyDescent="0.25"/>
  <cols>
    <col min="1" max="1" width="7.140625" bestFit="1" customWidth="1"/>
    <col min="2" max="2" width="9.85546875" bestFit="1" customWidth="1"/>
    <col min="3" max="3" width="35.42578125" bestFit="1" customWidth="1"/>
    <col min="4" max="4" width="23.42578125" style="73" bestFit="1" customWidth="1"/>
    <col min="5" max="5" width="8.140625" bestFit="1" customWidth="1"/>
    <col min="6" max="6" width="11.5703125" style="68" bestFit="1" customWidth="1"/>
    <col min="7" max="7" width="21.7109375" style="68" bestFit="1" customWidth="1"/>
    <col min="8" max="8" width="28" style="68" bestFit="1" customWidth="1"/>
    <col min="9" max="9" width="15.5703125" style="68" bestFit="1" customWidth="1"/>
    <col min="11" max="11" width="11.5703125" style="68" bestFit="1" customWidth="1"/>
  </cols>
  <sheetData>
    <row r="1" spans="1:9" ht="21" x14ac:dyDescent="0.35">
      <c r="D1" s="106" t="s">
        <v>80</v>
      </c>
      <c r="E1" s="106"/>
      <c r="F1" s="106"/>
      <c r="G1" s="106"/>
      <c r="H1" s="106"/>
    </row>
    <row r="3" spans="1:9" ht="15.75" x14ac:dyDescent="0.25">
      <c r="A3" s="59" t="s">
        <v>81</v>
      </c>
      <c r="B3" s="59" t="s">
        <v>54</v>
      </c>
      <c r="C3" s="69" t="s">
        <v>55</v>
      </c>
      <c r="D3" s="76" t="s">
        <v>56</v>
      </c>
      <c r="E3" s="69" t="s">
        <v>49</v>
      </c>
      <c r="F3" s="77" t="s">
        <v>64</v>
      </c>
      <c r="G3" s="77" t="s">
        <v>57</v>
      </c>
      <c r="H3" s="77" t="s">
        <v>58</v>
      </c>
      <c r="I3" s="77" t="s">
        <v>82</v>
      </c>
    </row>
    <row r="4" spans="1:9" x14ac:dyDescent="0.25">
      <c r="A4">
        <v>1</v>
      </c>
      <c r="B4">
        <v>708</v>
      </c>
      <c r="C4" t="s">
        <v>87</v>
      </c>
      <c r="D4" s="73">
        <v>8035740</v>
      </c>
      <c r="F4" s="68">
        <f>D4*5%</f>
        <v>401787</v>
      </c>
      <c r="G4" s="68">
        <v>100001</v>
      </c>
      <c r="H4" s="68">
        <f>G4*5%-0.05</f>
        <v>5000</v>
      </c>
      <c r="I4" s="68">
        <f>F4-H4</f>
        <v>396787</v>
      </c>
    </row>
    <row r="5" spans="1:9" x14ac:dyDescent="0.25">
      <c r="A5">
        <v>2</v>
      </c>
      <c r="B5" s="67"/>
      <c r="C5" s="71"/>
      <c r="E5">
        <v>0</v>
      </c>
      <c r="F5" s="68">
        <f>D5*5%</f>
        <v>0</v>
      </c>
      <c r="H5" s="68">
        <f>G5*5%</f>
        <v>0</v>
      </c>
      <c r="I5" s="68">
        <f>F5-H5</f>
        <v>0</v>
      </c>
    </row>
    <row r="6" spans="1:9" x14ac:dyDescent="0.25">
      <c r="A6">
        <v>3</v>
      </c>
      <c r="B6" s="67"/>
      <c r="C6" s="71"/>
      <c r="F6" s="68">
        <f>D6*1%</f>
        <v>0</v>
      </c>
      <c r="H6" s="68">
        <f>G6*5%</f>
        <v>0</v>
      </c>
      <c r="I6" s="68">
        <f>F6-H6</f>
        <v>0</v>
      </c>
    </row>
    <row r="7" spans="1:9" x14ac:dyDescent="0.25">
      <c r="A7" s="59"/>
      <c r="B7" s="59"/>
      <c r="C7" s="59"/>
      <c r="D7" s="78"/>
      <c r="E7" s="59">
        <v>0</v>
      </c>
      <c r="F7" s="79">
        <v>0</v>
      </c>
      <c r="G7" s="79"/>
      <c r="H7" s="79">
        <v>0</v>
      </c>
      <c r="I7" s="79">
        <f>SUM(I4:I6)</f>
        <v>396787</v>
      </c>
    </row>
    <row r="10" spans="1:9" ht="23.25" x14ac:dyDescent="0.35">
      <c r="D10" s="109" t="s">
        <v>61</v>
      </c>
      <c r="E10" s="109"/>
      <c r="F10" s="109"/>
      <c r="G10" s="109"/>
      <c r="H10" s="109"/>
    </row>
    <row r="12" spans="1:9" x14ac:dyDescent="0.25">
      <c r="B12" t="s">
        <v>54</v>
      </c>
      <c r="C12" s="67" t="s">
        <v>51</v>
      </c>
      <c r="D12" s="80" t="s">
        <v>84</v>
      </c>
      <c r="E12" s="67" t="s">
        <v>49</v>
      </c>
      <c r="F12" s="81" t="s">
        <v>64</v>
      </c>
    </row>
    <row r="13" spans="1:9" x14ac:dyDescent="0.25">
      <c r="B13">
        <v>1304</v>
      </c>
      <c r="C13" t="s">
        <v>92</v>
      </c>
      <c r="D13" s="73">
        <v>50000</v>
      </c>
      <c r="E13" s="73">
        <v>0</v>
      </c>
      <c r="F13" s="68">
        <f>D13*5%</f>
        <v>2500</v>
      </c>
    </row>
    <row r="14" spans="1:9" x14ac:dyDescent="0.25">
      <c r="B14">
        <v>1509</v>
      </c>
      <c r="C14" t="s">
        <v>90</v>
      </c>
      <c r="D14" s="73">
        <v>1000000</v>
      </c>
      <c r="F14" s="68">
        <f>D14*5%</f>
        <v>50000</v>
      </c>
    </row>
    <row r="15" spans="1:9" x14ac:dyDescent="0.25">
      <c r="C15" s="70"/>
      <c r="E15" s="73"/>
      <c r="F15" s="68">
        <f>D15*5%</f>
        <v>0</v>
      </c>
    </row>
    <row r="16" spans="1:9" x14ac:dyDescent="0.25">
      <c r="C16" s="70"/>
      <c r="E16" s="73"/>
      <c r="F16" s="68">
        <f>D16*5%</f>
        <v>0</v>
      </c>
    </row>
    <row r="17" spans="5:8" x14ac:dyDescent="0.25">
      <c r="E17" s="74">
        <f>SUM(E13:E16)</f>
        <v>0</v>
      </c>
      <c r="F17" s="82">
        <f>SUM(F13:F16)</f>
        <v>52500</v>
      </c>
      <c r="G17" s="68">
        <v>0</v>
      </c>
      <c r="H17" s="68">
        <f>I7+E17+F17</f>
        <v>449287</v>
      </c>
    </row>
  </sheetData>
  <mergeCells count="2">
    <mergeCell ref="D1:H1"/>
    <mergeCell ref="D10:H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7"/>
  <sheetViews>
    <sheetView view="pageBreakPreview" topLeftCell="A19" zoomScale="70" zoomScaleNormal="130" zoomScaleSheetLayoutView="70" workbookViewId="0">
      <selection activeCell="F4" sqref="A1:O37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93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>
        <f>+'Oct Working'!D16</f>
        <v>174500</v>
      </c>
      <c r="C4" s="7">
        <f>B4*B2/2</f>
        <v>872.5</v>
      </c>
      <c r="D4" s="7">
        <f>B4*B2/2</f>
        <v>872.5</v>
      </c>
      <c r="E4" s="34">
        <f>+'Oct Working'!D4-'Oct Working'!G4+'Oct Working'!D14+'Oct Working'!D15</f>
        <v>9902600</v>
      </c>
      <c r="F4" s="7">
        <f>E4*E2/2</f>
        <v>247565</v>
      </c>
      <c r="G4" s="7">
        <f>E4*E2/2</f>
        <v>247565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v>0</v>
      </c>
      <c r="C5" s="7">
        <v>0</v>
      </c>
      <c r="D5" s="7">
        <v>0</v>
      </c>
      <c r="E5" s="34">
        <v>0</v>
      </c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248437.5</v>
      </c>
      <c r="D23" s="17">
        <f>+D4+G4+J4+M4+D5+G5+J5+M5</f>
        <v>248437.5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>
        <f>-(+B9/B4*100)+100</f>
        <v>100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10077100</v>
      </c>
      <c r="I28" s="37">
        <f>+H28+J15+L15</f>
        <v>10077100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  <c r="L29" s="1" t="s">
        <v>97</v>
      </c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248437.5</v>
      </c>
      <c r="D30" s="17">
        <f>+D23+D24-D25-D26-D27-D28-D29</f>
        <v>248437.5</v>
      </c>
      <c r="E30" s="17">
        <f>+E23+E24-E25-E26-E27-E28-E29</f>
        <v>0</v>
      </c>
      <c r="F30" s="38">
        <f>B30+C30+D30</f>
        <v>496875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248437.5</v>
      </c>
      <c r="D33" s="17">
        <f>IF(D30&lt;=0,0,IF(B30+B29&gt;=0,D30,IF(AND(D30&gt;0,B30+C30+B29&lt;0,C30&gt;0),MAX(0,D30+C30+B30+B29),IF(AND(D30&gt;0,B30&lt;0,C30&lt;=0),MAX(0,D30+B30+B29),D30))))</f>
        <v>248437.5</v>
      </c>
      <c r="E33" s="17">
        <f>IF(E30&lt;=0,0,E30)</f>
        <v>0</v>
      </c>
      <c r="F33" s="17">
        <f>SUM(B33:E33)</f>
        <v>496875</v>
      </c>
      <c r="I33" s="9" t="s">
        <v>28</v>
      </c>
      <c r="J33" s="20">
        <v>45524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45524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248437.5</v>
      </c>
      <c r="D35" s="17">
        <f>SUM(D33:D34)</f>
        <v>248437.5</v>
      </c>
      <c r="E35" s="17">
        <f>SUM(E33:E34)</f>
        <v>0</v>
      </c>
      <c r="F35" s="17">
        <f>SUM(B35:E35)</f>
        <v>496875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248437.5</v>
      </c>
      <c r="D37" s="16">
        <f>+D35+D36</f>
        <v>248437.5</v>
      </c>
      <c r="E37" s="16">
        <f>+E35+E36</f>
        <v>0</v>
      </c>
      <c r="F37" s="16">
        <f>SUMIF(B37:E37,"&gt;0")</f>
        <v>496875</v>
      </c>
      <c r="I37" s="1" t="s">
        <v>19</v>
      </c>
      <c r="J37" s="23">
        <f>F37+J36</f>
        <v>496875</v>
      </c>
      <c r="K37" s="23"/>
      <c r="L37" s="23"/>
      <c r="M37" s="23"/>
    </row>
  </sheetData>
  <sheetProtection password="C5DA" sheet="1" objects="1" scenarios="1" selectLockedCells="1"/>
  <mergeCells count="31">
    <mergeCell ref="A1:O1"/>
    <mergeCell ref="B2:D2"/>
    <mergeCell ref="E2:G2"/>
    <mergeCell ref="H2:J2"/>
    <mergeCell ref="K2:M2"/>
    <mergeCell ref="N2:O2"/>
    <mergeCell ref="B13:C13"/>
    <mergeCell ref="D13:E13"/>
    <mergeCell ref="F13:G13"/>
    <mergeCell ref="H13:I13"/>
    <mergeCell ref="J13:K13"/>
    <mergeCell ref="B7:D7"/>
    <mergeCell ref="E7:G7"/>
    <mergeCell ref="H7:J7"/>
    <mergeCell ref="K7:M7"/>
    <mergeCell ref="N7:O7"/>
    <mergeCell ref="B17:C17"/>
    <mergeCell ref="D17:E17"/>
    <mergeCell ref="F17:G17"/>
    <mergeCell ref="H17:I17"/>
    <mergeCell ref="J17:K17"/>
    <mergeCell ref="L13:M13"/>
    <mergeCell ref="J14:K14"/>
    <mergeCell ref="L14:M14"/>
    <mergeCell ref="J15:K15"/>
    <mergeCell ref="L15:M15"/>
    <mergeCell ref="L17:M17"/>
    <mergeCell ref="J18:K18"/>
    <mergeCell ref="L18:M18"/>
    <mergeCell ref="J19:K19"/>
    <mergeCell ref="L19:M19"/>
  </mergeCells>
  <pageMargins left="0.17" right="0.17" top="0.3" bottom="0.17" header="0.3" footer="0.17"/>
  <pageSetup paperSize="9" scale="5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2"/>
  <sheetViews>
    <sheetView view="pageBreakPreview" zoomScaleNormal="100" zoomScaleSheetLayoutView="100" workbookViewId="0">
      <selection activeCell="H12" sqref="H12"/>
    </sheetView>
  </sheetViews>
  <sheetFormatPr defaultRowHeight="15" x14ac:dyDescent="0.25"/>
  <cols>
    <col min="1" max="1" width="7.140625" bestFit="1" customWidth="1"/>
    <col min="2" max="2" width="9.85546875" bestFit="1" customWidth="1"/>
    <col min="3" max="3" width="35.42578125" bestFit="1" customWidth="1"/>
    <col min="4" max="4" width="23.42578125" bestFit="1" customWidth="1"/>
    <col min="5" max="5" width="8.140625" bestFit="1" customWidth="1"/>
    <col min="6" max="6" width="9" bestFit="1" customWidth="1"/>
    <col min="7" max="7" width="21.7109375" bestFit="1" customWidth="1"/>
    <col min="8" max="8" width="28" bestFit="1" customWidth="1"/>
    <col min="9" max="9" width="15.5703125" bestFit="1" customWidth="1"/>
    <col min="11" max="11" width="11.5703125" style="68" bestFit="1" customWidth="1"/>
  </cols>
  <sheetData>
    <row r="1" spans="1:9" ht="21" x14ac:dyDescent="0.35">
      <c r="D1" s="106" t="s">
        <v>80</v>
      </c>
      <c r="E1" s="106"/>
      <c r="F1" s="106"/>
      <c r="G1" s="106"/>
      <c r="H1" s="106"/>
    </row>
    <row r="3" spans="1:9" ht="15.75" x14ac:dyDescent="0.25">
      <c r="A3" s="59" t="s">
        <v>81</v>
      </c>
      <c r="B3" s="59" t="s">
        <v>54</v>
      </c>
      <c r="C3" s="69" t="s">
        <v>55</v>
      </c>
      <c r="D3" s="69" t="s">
        <v>56</v>
      </c>
      <c r="E3" s="69" t="s">
        <v>49</v>
      </c>
      <c r="F3" s="69" t="s">
        <v>64</v>
      </c>
      <c r="G3" s="69" t="s">
        <v>57</v>
      </c>
      <c r="H3" s="69" t="s">
        <v>58</v>
      </c>
      <c r="I3" s="69" t="s">
        <v>82</v>
      </c>
    </row>
    <row r="4" spans="1:9" x14ac:dyDescent="0.25">
      <c r="A4">
        <v>1</v>
      </c>
      <c r="B4">
        <v>1304</v>
      </c>
      <c r="C4" t="s">
        <v>92</v>
      </c>
      <c r="D4" s="68">
        <v>6901500</v>
      </c>
      <c r="F4">
        <f>D4*5%</f>
        <v>345075</v>
      </c>
      <c r="G4">
        <v>50000</v>
      </c>
      <c r="H4">
        <f>G4*5%</f>
        <v>2500</v>
      </c>
      <c r="I4">
        <f>F4-H4</f>
        <v>342575</v>
      </c>
    </row>
    <row r="5" spans="1:9" x14ac:dyDescent="0.25">
      <c r="A5">
        <v>2</v>
      </c>
      <c r="B5" s="67"/>
      <c r="C5" s="71"/>
      <c r="E5">
        <v>0</v>
      </c>
      <c r="F5">
        <f>D5*5%</f>
        <v>0</v>
      </c>
      <c r="H5">
        <f>G5*5%</f>
        <v>0</v>
      </c>
      <c r="I5">
        <f>F5-H5</f>
        <v>0</v>
      </c>
    </row>
    <row r="6" spans="1:9" x14ac:dyDescent="0.25">
      <c r="A6">
        <v>3</v>
      </c>
      <c r="B6" s="67"/>
      <c r="C6" s="71"/>
      <c r="D6" s="72"/>
      <c r="F6">
        <f>D6*1%</f>
        <v>0</v>
      </c>
      <c r="H6">
        <f>G6*5%</f>
        <v>0</v>
      </c>
      <c r="I6">
        <f>F6-H6</f>
        <v>0</v>
      </c>
    </row>
    <row r="7" spans="1:9" x14ac:dyDescent="0.25">
      <c r="A7" s="59"/>
      <c r="B7" s="59"/>
      <c r="C7" s="59"/>
      <c r="D7" s="59"/>
      <c r="E7" s="59">
        <v>0</v>
      </c>
      <c r="F7" s="59">
        <v>0</v>
      </c>
      <c r="G7" s="59"/>
      <c r="H7" s="59">
        <v>0</v>
      </c>
      <c r="I7" s="59">
        <f>SUM(I4:I6)</f>
        <v>342575</v>
      </c>
    </row>
    <row r="10" spans="1:9" ht="23.25" x14ac:dyDescent="0.35">
      <c r="D10" s="109" t="s">
        <v>61</v>
      </c>
      <c r="E10" s="109"/>
      <c r="F10" s="109"/>
      <c r="G10" s="109"/>
      <c r="H10" s="109"/>
    </row>
    <row r="12" spans="1:9" x14ac:dyDescent="0.25">
      <c r="B12" t="s">
        <v>54</v>
      </c>
      <c r="C12" s="67" t="s">
        <v>51</v>
      </c>
      <c r="D12" s="67" t="s">
        <v>84</v>
      </c>
      <c r="E12" s="67" t="s">
        <v>49</v>
      </c>
      <c r="F12" s="67" t="s">
        <v>64</v>
      </c>
    </row>
    <row r="13" spans="1:9" x14ac:dyDescent="0.25">
      <c r="D13" s="68"/>
      <c r="E13" s="73"/>
      <c r="F13" s="73">
        <v>0</v>
      </c>
    </row>
    <row r="14" spans="1:9" x14ac:dyDescent="0.25">
      <c r="B14">
        <v>1606</v>
      </c>
      <c r="C14" t="s">
        <v>90</v>
      </c>
      <c r="D14" s="68">
        <v>3000100</v>
      </c>
      <c r="F14" s="73">
        <f>D14*5%</f>
        <v>150005</v>
      </c>
    </row>
    <row r="15" spans="1:9" x14ac:dyDescent="0.25">
      <c r="B15">
        <v>1805</v>
      </c>
      <c r="C15" s="70" t="s">
        <v>94</v>
      </c>
      <c r="D15">
        <v>51000</v>
      </c>
      <c r="E15" s="73"/>
      <c r="F15" s="73">
        <f>D15*5%</f>
        <v>2550</v>
      </c>
    </row>
    <row r="16" spans="1:9" x14ac:dyDescent="0.25">
      <c r="B16">
        <v>1605</v>
      </c>
      <c r="C16" s="70" t="s">
        <v>96</v>
      </c>
      <c r="D16">
        <v>174500</v>
      </c>
      <c r="E16" s="73">
        <f>+D16*1%</f>
        <v>1745</v>
      </c>
      <c r="F16" s="73"/>
    </row>
    <row r="17" spans="3:8" x14ac:dyDescent="0.25">
      <c r="C17" s="70"/>
      <c r="E17" s="73"/>
      <c r="F17" s="73"/>
    </row>
    <row r="18" spans="3:8" x14ac:dyDescent="0.25">
      <c r="C18" s="70"/>
      <c r="E18" s="73"/>
      <c r="F18" s="73"/>
    </row>
    <row r="19" spans="3:8" x14ac:dyDescent="0.25">
      <c r="E19" s="74">
        <f>SUM(E13:E16)</f>
        <v>1745</v>
      </c>
      <c r="F19" s="74">
        <f>SUM(F13:F16)</f>
        <v>152555</v>
      </c>
      <c r="G19" s="75">
        <v>0</v>
      </c>
      <c r="H19" s="75">
        <f>I7+E19+F19</f>
        <v>496875</v>
      </c>
    </row>
    <row r="22" spans="3:8" x14ac:dyDescent="0.25">
      <c r="C22" s="83" t="s">
        <v>95</v>
      </c>
    </row>
  </sheetData>
  <mergeCells count="2">
    <mergeCell ref="D1:H1"/>
    <mergeCell ref="D10:H10"/>
  </mergeCells>
  <pageMargins left="0.7" right="0.7" top="0.75" bottom="0.75" header="0.3" footer="0.3"/>
  <pageSetup scale="5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AED1-3E9F-4710-9893-9457301D19EB}">
  <dimension ref="A1:O37"/>
  <sheetViews>
    <sheetView view="pageBreakPreview" zoomScale="70" zoomScaleNormal="130" zoomScaleSheetLayoutView="70" workbookViewId="0">
      <selection activeCell="H7" sqref="H7:J7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98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/>
      <c r="C4" s="7">
        <f>B4*B2/2</f>
        <v>0</v>
      </c>
      <c r="D4" s="7">
        <f>B4*B2/2</f>
        <v>0</v>
      </c>
      <c r="E4" s="34">
        <f>'NOV working'!E7-'NOV working'!H7</f>
        <v>10762650</v>
      </c>
      <c r="F4" s="7">
        <f>E4*E2/2</f>
        <v>269066.25</v>
      </c>
      <c r="G4" s="7">
        <f>E4*E2/2</f>
        <v>269066.25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f>'NOV working'!E17</f>
        <v>455100</v>
      </c>
      <c r="C5" s="7">
        <f>+B5*B2/2</f>
        <v>2275.5</v>
      </c>
      <c r="D5" s="7">
        <f>+B5*B2/2</f>
        <v>2275.5</v>
      </c>
      <c r="E5" s="34">
        <v>0</v>
      </c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271341.75</v>
      </c>
      <c r="D23" s="17">
        <f>+D4+G4+J4+M4+D5+G5+J5+M5</f>
        <v>271341.75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 t="e">
        <f>-(+B9/B4*100)+100</f>
        <v>#DIV/0!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11217750</v>
      </c>
      <c r="I28" s="37">
        <f>+H28+J15+L15</f>
        <v>11217750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  <c r="L29" s="1" t="s">
        <v>97</v>
      </c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271341.75</v>
      </c>
      <c r="D30" s="17">
        <f>+D23+D24-D25-D26-D27-D28-D29</f>
        <v>271341.75</v>
      </c>
      <c r="E30" s="17">
        <f>+E23+E24-E25-E26-E27-E28-E29</f>
        <v>0</v>
      </c>
      <c r="F30" s="38">
        <f>B30+C30+D30</f>
        <v>542683.5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271341.75</v>
      </c>
      <c r="D33" s="17">
        <f>IF(D30&lt;=0,0,IF(B30+B29&gt;=0,D30,IF(AND(D30&gt;0,B30+C30+B29&lt;0,C30&gt;0),MAX(0,D30+C30+B30+B29),IF(AND(D30&gt;0,B30&lt;0,C30&lt;=0),MAX(0,D30+B30+B29),D30))))</f>
        <v>271341.75</v>
      </c>
      <c r="E33" s="17">
        <f>IF(E30&lt;=0,0,E30)</f>
        <v>0</v>
      </c>
      <c r="F33" s="17">
        <f>SUM(B33:E33)</f>
        <v>542683.5</v>
      </c>
      <c r="I33" s="9" t="s">
        <v>28</v>
      </c>
      <c r="J33" s="20">
        <v>45524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45524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271341.75</v>
      </c>
      <c r="D35" s="17">
        <f>SUM(D33:D34)</f>
        <v>271341.75</v>
      </c>
      <c r="E35" s="17">
        <f>SUM(E33:E34)</f>
        <v>0</v>
      </c>
      <c r="F35" s="17">
        <f>SUM(B35:E35)</f>
        <v>542683.5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271341.75</v>
      </c>
      <c r="D37" s="16">
        <f>+D35+D36</f>
        <v>271341.75</v>
      </c>
      <c r="E37" s="16">
        <f>+E35+E36</f>
        <v>0</v>
      </c>
      <c r="F37" s="16">
        <f>SUMIF(B37:E37,"&gt;0")</f>
        <v>542683.5</v>
      </c>
      <c r="I37" s="1" t="s">
        <v>19</v>
      </c>
      <c r="J37" s="23">
        <f>F37+J36</f>
        <v>542683.5</v>
      </c>
      <c r="K37" s="23"/>
      <c r="L37" s="23"/>
      <c r="M37" s="23"/>
    </row>
  </sheetData>
  <sheetProtection password="C5DA" sheet="1" objects="1" scenarios="1" selectLockedCells="1"/>
  <mergeCells count="31">
    <mergeCell ref="L17:M17"/>
    <mergeCell ref="J18:K18"/>
    <mergeCell ref="L18:M18"/>
    <mergeCell ref="J19:K19"/>
    <mergeCell ref="L19:M19"/>
    <mergeCell ref="L13:M13"/>
    <mergeCell ref="J14:K14"/>
    <mergeCell ref="L14:M14"/>
    <mergeCell ref="J15:K15"/>
    <mergeCell ref="L15:M15"/>
    <mergeCell ref="B17:C17"/>
    <mergeCell ref="D17:E17"/>
    <mergeCell ref="F17:G17"/>
    <mergeCell ref="H17:I17"/>
    <mergeCell ref="J17:K17"/>
    <mergeCell ref="B7:D7"/>
    <mergeCell ref="E7:G7"/>
    <mergeCell ref="H7:J7"/>
    <mergeCell ref="K7:M7"/>
    <mergeCell ref="N7:O7"/>
    <mergeCell ref="B13:C13"/>
    <mergeCell ref="D13:E13"/>
    <mergeCell ref="F13:G13"/>
    <mergeCell ref="H13:I13"/>
    <mergeCell ref="J13:K13"/>
    <mergeCell ref="A1:O1"/>
    <mergeCell ref="B2:D2"/>
    <mergeCell ref="E2:G2"/>
    <mergeCell ref="H2:J2"/>
    <mergeCell ref="K2:M2"/>
    <mergeCell ref="N2:O2"/>
  </mergeCells>
  <pageMargins left="0.17" right="0.17" top="0.3" bottom="0.17" header="0.3" footer="0.17"/>
  <pageSetup paperSize="9" scale="5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6763-BA81-4DF1-859F-0A08F7AADFBC}">
  <dimension ref="A1:L20"/>
  <sheetViews>
    <sheetView topLeftCell="B1" workbookViewId="0">
      <selection activeCell="I13" sqref="I13"/>
    </sheetView>
  </sheetViews>
  <sheetFormatPr defaultRowHeight="15" x14ac:dyDescent="0.25"/>
  <cols>
    <col min="1" max="1" width="7.140625" bestFit="1" customWidth="1"/>
    <col min="2" max="2" width="10.7109375" bestFit="1" customWidth="1"/>
    <col min="3" max="3" width="9.85546875" bestFit="1" customWidth="1"/>
    <col min="4" max="4" width="35.42578125" bestFit="1" customWidth="1"/>
    <col min="5" max="5" width="23.42578125" bestFit="1" customWidth="1"/>
    <col min="6" max="6" width="8.140625" bestFit="1" customWidth="1"/>
    <col min="7" max="7" width="12.140625" bestFit="1" customWidth="1"/>
    <col min="8" max="8" width="21.7109375" bestFit="1" customWidth="1"/>
    <col min="9" max="9" width="28" bestFit="1" customWidth="1"/>
    <col min="10" max="10" width="15.5703125" bestFit="1" customWidth="1"/>
    <col min="12" max="12" width="11.5703125" style="68" bestFit="1" customWidth="1"/>
  </cols>
  <sheetData>
    <row r="1" spans="1:12" ht="21" x14ac:dyDescent="0.35">
      <c r="E1" s="106" t="s">
        <v>80</v>
      </c>
      <c r="F1" s="106"/>
      <c r="G1" s="106"/>
      <c r="H1" s="106"/>
      <c r="I1" s="106"/>
    </row>
    <row r="3" spans="1:12" ht="15.75" x14ac:dyDescent="0.25">
      <c r="A3" s="59" t="s">
        <v>81</v>
      </c>
      <c r="B3" s="59" t="s">
        <v>50</v>
      </c>
      <c r="C3" s="59" t="s">
        <v>54</v>
      </c>
      <c r="D3" s="69" t="s">
        <v>55</v>
      </c>
      <c r="E3" s="69" t="s">
        <v>56</v>
      </c>
      <c r="F3" s="69" t="s">
        <v>49</v>
      </c>
      <c r="G3" s="69" t="s">
        <v>64</v>
      </c>
      <c r="H3" s="69" t="s">
        <v>57</v>
      </c>
      <c r="I3" s="69" t="s">
        <v>58</v>
      </c>
      <c r="J3" s="69" t="s">
        <v>82</v>
      </c>
    </row>
    <row r="4" spans="1:12" x14ac:dyDescent="0.25">
      <c r="A4">
        <v>1</v>
      </c>
      <c r="B4" s="85">
        <v>45982</v>
      </c>
      <c r="C4">
        <v>1805</v>
      </c>
      <c r="D4" t="s">
        <v>94</v>
      </c>
      <c r="E4" s="68">
        <v>6063750</v>
      </c>
      <c r="G4" s="86">
        <f>ROUND(E4*5%,0)</f>
        <v>303188</v>
      </c>
      <c r="H4" s="68">
        <v>51000</v>
      </c>
      <c r="I4" s="68">
        <f>H4*5%</f>
        <v>2550</v>
      </c>
      <c r="J4" s="68">
        <f>G4-I4</f>
        <v>300638</v>
      </c>
    </row>
    <row r="5" spans="1:12" x14ac:dyDescent="0.25">
      <c r="A5">
        <v>2</v>
      </c>
      <c r="B5" s="85">
        <v>45988</v>
      </c>
      <c r="C5" s="67">
        <v>1606</v>
      </c>
      <c r="D5" s="71" t="s">
        <v>90</v>
      </c>
      <c r="E5" s="68">
        <v>8800000</v>
      </c>
      <c r="F5">
        <v>0</v>
      </c>
      <c r="G5" s="87">
        <f>E5*5%</f>
        <v>440000</v>
      </c>
      <c r="H5" s="84">
        <v>4050100</v>
      </c>
      <c r="I5" s="68">
        <f>H5*5%</f>
        <v>202505</v>
      </c>
      <c r="J5" s="68">
        <f>G5-I5</f>
        <v>237495</v>
      </c>
    </row>
    <row r="6" spans="1:12" x14ac:dyDescent="0.25">
      <c r="A6">
        <v>3</v>
      </c>
      <c r="C6" s="67"/>
      <c r="D6" s="71"/>
      <c r="E6" s="72"/>
      <c r="G6">
        <f>E6*1%</f>
        <v>0</v>
      </c>
      <c r="I6">
        <f>H6*5%</f>
        <v>0</v>
      </c>
      <c r="J6">
        <f>G6-I6</f>
        <v>0</v>
      </c>
    </row>
    <row r="7" spans="1:12" x14ac:dyDescent="0.25">
      <c r="A7" s="59"/>
      <c r="B7" s="59"/>
      <c r="C7" s="59"/>
      <c r="D7" s="59"/>
      <c r="E7" s="88">
        <f>E4+E5</f>
        <v>14863750</v>
      </c>
      <c r="F7" s="59">
        <v>0</v>
      </c>
      <c r="G7" s="88">
        <f>G4+G5</f>
        <v>743188</v>
      </c>
      <c r="H7" s="88">
        <f>H4+H5</f>
        <v>4101100</v>
      </c>
      <c r="I7" s="88">
        <f>I4+I5</f>
        <v>205055</v>
      </c>
      <c r="J7" s="79">
        <f>SUM(J4:J6)</f>
        <v>538133</v>
      </c>
    </row>
    <row r="10" spans="1:12" ht="23.25" x14ac:dyDescent="0.35">
      <c r="E10" s="109" t="s">
        <v>61</v>
      </c>
      <c r="F10" s="109"/>
      <c r="G10" s="109"/>
      <c r="H10" s="109"/>
      <c r="I10" s="109"/>
    </row>
    <row r="11" spans="1:12" x14ac:dyDescent="0.25">
      <c r="L11" s="68">
        <f>1745+500</f>
        <v>2245</v>
      </c>
    </row>
    <row r="12" spans="1:12" x14ac:dyDescent="0.25">
      <c r="C12" t="s">
        <v>54</v>
      </c>
      <c r="D12" s="67" t="s">
        <v>51</v>
      </c>
      <c r="E12" s="67" t="s">
        <v>84</v>
      </c>
      <c r="F12" s="67" t="s">
        <v>49</v>
      </c>
      <c r="G12" s="67" t="s">
        <v>64</v>
      </c>
    </row>
    <row r="13" spans="1:12" x14ac:dyDescent="0.25">
      <c r="C13">
        <v>1604</v>
      </c>
      <c r="D13" t="s">
        <v>99</v>
      </c>
      <c r="E13" s="68">
        <v>500000</v>
      </c>
      <c r="F13" s="73">
        <f>E13*1%</f>
        <v>5000</v>
      </c>
      <c r="G13" s="73">
        <v>0</v>
      </c>
    </row>
    <row r="14" spans="1:12" x14ac:dyDescent="0.25">
      <c r="C14">
        <v>1605</v>
      </c>
      <c r="D14" t="s">
        <v>101</v>
      </c>
      <c r="E14" s="68">
        <v>-44900</v>
      </c>
      <c r="F14" s="73">
        <f>E14*1%</f>
        <v>-449</v>
      </c>
      <c r="G14" s="73">
        <v>0</v>
      </c>
    </row>
    <row r="15" spans="1:12" x14ac:dyDescent="0.25">
      <c r="D15" s="70"/>
      <c r="F15" s="73"/>
      <c r="G15" s="73">
        <f>E15*5%</f>
        <v>0</v>
      </c>
    </row>
    <row r="16" spans="1:12" x14ac:dyDescent="0.25">
      <c r="D16" s="70"/>
      <c r="F16" s="73">
        <f>E16*1%</f>
        <v>0</v>
      </c>
      <c r="G16" s="73">
        <v>0</v>
      </c>
    </row>
    <row r="17" spans="4:9" x14ac:dyDescent="0.25">
      <c r="E17" s="86">
        <f>E13+E14</f>
        <v>455100</v>
      </c>
      <c r="F17" s="74">
        <f>SUM(F13:F16)</f>
        <v>4551</v>
      </c>
      <c r="G17" s="74">
        <f>SUM(G13:G16)</f>
        <v>0</v>
      </c>
      <c r="H17" s="75">
        <v>0</v>
      </c>
      <c r="I17" s="75">
        <f>J7+F17+G17</f>
        <v>542684</v>
      </c>
    </row>
    <row r="20" spans="4:9" x14ac:dyDescent="0.25">
      <c r="D20" s="83" t="s">
        <v>100</v>
      </c>
    </row>
  </sheetData>
  <mergeCells count="2">
    <mergeCell ref="E1:I1"/>
    <mergeCell ref="E10:I10"/>
  </mergeCells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7E19-DC0C-4F25-8820-9E173EF116E6}">
  <dimension ref="A1:O37"/>
  <sheetViews>
    <sheetView view="pageBreakPreview" zoomScale="70" zoomScaleNormal="130" zoomScaleSheetLayoutView="70" workbookViewId="0">
      <selection activeCell="G9" sqref="G9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102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/>
      <c r="C4" s="7">
        <f>B4*B2/2</f>
        <v>0</v>
      </c>
      <c r="D4" s="7">
        <f>B4*B2/2</f>
        <v>0</v>
      </c>
      <c r="E4" s="34"/>
      <c r="F4" s="7">
        <f>E4*E2/2</f>
        <v>0</v>
      </c>
      <c r="G4" s="7">
        <f>E4*E2/2</f>
        <v>0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f>+'DEC working'!D13+'DEC working'!D14</f>
        <v>1200000</v>
      </c>
      <c r="C5" s="7">
        <f>+B5*B2/2</f>
        <v>6000</v>
      </c>
      <c r="D5" s="7">
        <f>+B5*B2/2</f>
        <v>6000</v>
      </c>
      <c r="E5" s="34">
        <v>0</v>
      </c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6000</v>
      </c>
      <c r="D23" s="17">
        <f>+D4+G4+J4+M4+D5+G5+J5+M5</f>
        <v>6000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 t="e">
        <f>-(+B9/B4*100)+100</f>
        <v>#DIV/0!</v>
      </c>
      <c r="I26" s="24" t="e">
        <f>-(+E9/E4*100)+100</f>
        <v>#DIV/0!</v>
      </c>
      <c r="J26" s="24" t="e">
        <f>-(+H9/H4*100)+100</f>
        <v>#DIV/0!</v>
      </c>
      <c r="K26" s="24" t="e">
        <f>-(+K9/K4*100)+100</f>
        <v>#DIV/0!</v>
      </c>
      <c r="L26" s="24" t="e">
        <f>-(((B9+E9+H9+K9+N9+B19+D19+F19+H19+J19+L19)/(B4+E4+H4+K4+N4+B15+D15+F15+H15+J15+L15))*100)+100</f>
        <v>#DIV/0!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1200000</v>
      </c>
      <c r="I28" s="37">
        <f>+H28+J15+L15</f>
        <v>1200000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  <c r="L29" s="1" t="s">
        <v>97</v>
      </c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6000</v>
      </c>
      <c r="D30" s="17">
        <f>+D23+D24-D25-D26-D27-D28-D29</f>
        <v>6000</v>
      </c>
      <c r="E30" s="17">
        <f>+E23+E24-E25-E26-E27-E28-E29</f>
        <v>0</v>
      </c>
      <c r="F30" s="38">
        <f>B30+C30+D30</f>
        <v>12000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6000</v>
      </c>
      <c r="D33" s="17">
        <f>IF(D30&lt;=0,0,IF(B30+B29&gt;=0,D30,IF(AND(D30&gt;0,B30+C30+B29&lt;0,C30&gt;0),MAX(0,D30+C30+B30+B29),IF(AND(D30&gt;0,B30&lt;0,C30&lt;=0),MAX(0,D30+B30+B29),D30))))</f>
        <v>6000</v>
      </c>
      <c r="E33" s="17">
        <f>IF(E30&lt;=0,0,E30)</f>
        <v>0</v>
      </c>
      <c r="F33" s="17">
        <f>SUM(B33:E33)</f>
        <v>12000</v>
      </c>
      <c r="I33" s="9" t="s">
        <v>28</v>
      </c>
      <c r="J33" s="20">
        <v>45524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45524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6000</v>
      </c>
      <c r="D35" s="17">
        <f>SUM(D33:D34)</f>
        <v>6000</v>
      </c>
      <c r="E35" s="17">
        <f>SUM(E33:E34)</f>
        <v>0</v>
      </c>
      <c r="F35" s="17">
        <f>SUM(B35:E35)</f>
        <v>12000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6000</v>
      </c>
      <c r="D37" s="16">
        <f>+D35+D36</f>
        <v>6000</v>
      </c>
      <c r="E37" s="16">
        <f>+E35+E36</f>
        <v>0</v>
      </c>
      <c r="F37" s="16">
        <f>SUMIF(B37:E37,"&gt;0")</f>
        <v>12000</v>
      </c>
      <c r="I37" s="1" t="s">
        <v>19</v>
      </c>
      <c r="J37" s="23">
        <f>F37+J36</f>
        <v>12000</v>
      </c>
      <c r="K37" s="23"/>
      <c r="L37" s="23"/>
      <c r="M37" s="23"/>
    </row>
  </sheetData>
  <sheetProtection password="C5DA" sheet="1" objects="1" scenarios="1" selectLockedCells="1"/>
  <mergeCells count="31">
    <mergeCell ref="L17:M17"/>
    <mergeCell ref="J18:K18"/>
    <mergeCell ref="L18:M18"/>
    <mergeCell ref="J19:K19"/>
    <mergeCell ref="L19:M19"/>
    <mergeCell ref="L13:M13"/>
    <mergeCell ref="J14:K14"/>
    <mergeCell ref="L14:M14"/>
    <mergeCell ref="J15:K15"/>
    <mergeCell ref="L15:M15"/>
    <mergeCell ref="B17:C17"/>
    <mergeCell ref="D17:E17"/>
    <mergeCell ref="F17:G17"/>
    <mergeCell ref="H17:I17"/>
    <mergeCell ref="J17:K17"/>
    <mergeCell ref="B7:D7"/>
    <mergeCell ref="E7:G7"/>
    <mergeCell ref="H7:J7"/>
    <mergeCell ref="K7:M7"/>
    <mergeCell ref="N7:O7"/>
    <mergeCell ref="B13:C13"/>
    <mergeCell ref="D13:E13"/>
    <mergeCell ref="F13:G13"/>
    <mergeCell ref="H13:I13"/>
    <mergeCell ref="J13:K13"/>
    <mergeCell ref="A1:O1"/>
    <mergeCell ref="B2:D2"/>
    <mergeCell ref="E2:G2"/>
    <mergeCell ref="H2:J2"/>
    <mergeCell ref="K2:M2"/>
    <mergeCell ref="N2:O2"/>
  </mergeCells>
  <pageMargins left="0.17" right="0.17" top="0.3" bottom="0.17" header="0.3" footer="0.17"/>
  <pageSetup paperSize="9" scale="5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BF02-0061-438F-A9EB-85E05D9B1D54}">
  <dimension ref="A1:K20"/>
  <sheetViews>
    <sheetView workbookViewId="0">
      <selection activeCell="H17" sqref="H17"/>
    </sheetView>
  </sheetViews>
  <sheetFormatPr defaultRowHeight="15" x14ac:dyDescent="0.25"/>
  <cols>
    <col min="1" max="1" width="7.140625" bestFit="1" customWidth="1"/>
    <col min="2" max="2" width="9.85546875" bestFit="1" customWidth="1"/>
    <col min="3" max="3" width="35.42578125" bestFit="1" customWidth="1"/>
    <col min="4" max="4" width="23.42578125" bestFit="1" customWidth="1"/>
    <col min="5" max="5" width="8.140625" bestFit="1" customWidth="1"/>
    <col min="6" max="6" width="11.5703125" bestFit="1" customWidth="1"/>
    <col min="7" max="7" width="21.7109375" bestFit="1" customWidth="1"/>
    <col min="8" max="8" width="28" bestFit="1" customWidth="1"/>
    <col min="9" max="9" width="15.5703125" bestFit="1" customWidth="1"/>
    <col min="11" max="11" width="11.5703125" style="68" bestFit="1" customWidth="1"/>
  </cols>
  <sheetData>
    <row r="1" spans="1:9" ht="21" x14ac:dyDescent="0.35">
      <c r="D1" s="106" t="s">
        <v>80</v>
      </c>
      <c r="E1" s="106"/>
      <c r="F1" s="106"/>
      <c r="G1" s="106"/>
      <c r="H1" s="106"/>
    </row>
    <row r="3" spans="1:9" ht="15.75" x14ac:dyDescent="0.25">
      <c r="A3" s="59" t="s">
        <v>81</v>
      </c>
      <c r="B3" s="59" t="s">
        <v>54</v>
      </c>
      <c r="C3" s="69" t="s">
        <v>55</v>
      </c>
      <c r="D3" s="69" t="s">
        <v>56</v>
      </c>
      <c r="E3" s="69" t="s">
        <v>49</v>
      </c>
      <c r="F3" s="69" t="s">
        <v>64</v>
      </c>
      <c r="G3" s="69" t="s">
        <v>57</v>
      </c>
      <c r="H3" s="69" t="s">
        <v>58</v>
      </c>
      <c r="I3" s="69" t="s">
        <v>82</v>
      </c>
    </row>
    <row r="4" spans="1:9" x14ac:dyDescent="0.25">
      <c r="A4">
        <v>1</v>
      </c>
      <c r="D4" s="68"/>
      <c r="E4" s="89">
        <v>0</v>
      </c>
      <c r="F4" s="89">
        <v>0</v>
      </c>
      <c r="G4" s="89"/>
      <c r="H4" s="89">
        <f>G4*5%</f>
        <v>0</v>
      </c>
      <c r="I4" s="89">
        <f>F4-H4</f>
        <v>0</v>
      </c>
    </row>
    <row r="5" spans="1:9" x14ac:dyDescent="0.25">
      <c r="A5">
        <v>2</v>
      </c>
      <c r="B5" s="67"/>
      <c r="C5" s="71"/>
      <c r="D5" s="68"/>
      <c r="E5" s="89">
        <v>0</v>
      </c>
      <c r="F5" s="89">
        <v>0</v>
      </c>
      <c r="G5" s="89"/>
      <c r="H5" s="89">
        <f>G5*5%</f>
        <v>0</v>
      </c>
      <c r="I5" s="89">
        <f>F5-H5</f>
        <v>0</v>
      </c>
    </row>
    <row r="6" spans="1:9" x14ac:dyDescent="0.25">
      <c r="A6">
        <v>3</v>
      </c>
      <c r="B6" s="67"/>
      <c r="C6" s="71"/>
      <c r="D6" s="72"/>
    </row>
    <row r="7" spans="1:9" x14ac:dyDescent="0.25">
      <c r="A7" s="59"/>
      <c r="B7" s="59"/>
      <c r="C7" s="59"/>
      <c r="D7" s="59"/>
      <c r="E7" s="59"/>
      <c r="F7" s="59"/>
      <c r="G7" s="59"/>
      <c r="H7" s="89">
        <v>0</v>
      </c>
      <c r="I7" s="79">
        <f>SUM(I4:I6)</f>
        <v>0</v>
      </c>
    </row>
    <row r="10" spans="1:9" ht="23.25" x14ac:dyDescent="0.35">
      <c r="D10" s="109" t="s">
        <v>61</v>
      </c>
      <c r="E10" s="109"/>
      <c r="F10" s="109"/>
      <c r="G10" s="109"/>
      <c r="H10" s="109"/>
    </row>
    <row r="12" spans="1:9" x14ac:dyDescent="0.25">
      <c r="B12" t="s">
        <v>54</v>
      </c>
      <c r="C12" s="67" t="s">
        <v>51</v>
      </c>
      <c r="D12" s="67" t="s">
        <v>84</v>
      </c>
      <c r="E12" s="67" t="s">
        <v>49</v>
      </c>
      <c r="F12" s="67" t="s">
        <v>64</v>
      </c>
    </row>
    <row r="13" spans="1:9" x14ac:dyDescent="0.25">
      <c r="B13">
        <v>1804</v>
      </c>
      <c r="C13" t="s">
        <v>103</v>
      </c>
      <c r="D13" s="68">
        <v>1100000</v>
      </c>
      <c r="E13" s="73">
        <f>D13*1%</f>
        <v>11000</v>
      </c>
      <c r="F13" s="73">
        <v>0</v>
      </c>
    </row>
    <row r="14" spans="1:9" x14ac:dyDescent="0.25">
      <c r="B14">
        <v>905</v>
      </c>
      <c r="C14" t="s">
        <v>104</v>
      </c>
      <c r="D14" s="68">
        <v>100000</v>
      </c>
      <c r="E14" s="73">
        <f>D14*1%</f>
        <v>1000</v>
      </c>
      <c r="F14" s="73">
        <v>0</v>
      </c>
    </row>
    <row r="15" spans="1:9" x14ac:dyDescent="0.25">
      <c r="C15" s="70"/>
      <c r="E15" s="73"/>
      <c r="F15" s="73">
        <f>D15*5%</f>
        <v>0</v>
      </c>
    </row>
    <row r="16" spans="1:9" x14ac:dyDescent="0.25">
      <c r="C16" s="70"/>
      <c r="E16" s="73">
        <f>D16*1%</f>
        <v>0</v>
      </c>
      <c r="F16" s="73">
        <v>0</v>
      </c>
    </row>
    <row r="17" spans="3:10" x14ac:dyDescent="0.25">
      <c r="E17" s="74">
        <f>SUM(E13:E16)</f>
        <v>12000</v>
      </c>
      <c r="F17" s="74">
        <f>SUM(F13:F16)</f>
        <v>0</v>
      </c>
      <c r="G17" s="75">
        <v>0</v>
      </c>
      <c r="H17" s="75">
        <f>I7+E17+F17-H16</f>
        <v>12000</v>
      </c>
      <c r="I17" s="68"/>
      <c r="J17" s="75"/>
    </row>
    <row r="19" spans="3:10" x14ac:dyDescent="0.25">
      <c r="H19" s="75"/>
    </row>
    <row r="20" spans="3:10" x14ac:dyDescent="0.25">
      <c r="C20" s="59"/>
    </row>
  </sheetData>
  <mergeCells count="2">
    <mergeCell ref="D1:H1"/>
    <mergeCell ref="D10:H10"/>
  </mergeCells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EC48-7788-4905-BF58-A09E685F29C2}">
  <dimension ref="A1:O37"/>
  <sheetViews>
    <sheetView view="pageBreakPreview" zoomScale="70" zoomScaleNormal="130" zoomScaleSheetLayoutView="70" workbookViewId="0">
      <selection activeCell="L11" sqref="L11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105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>
        <f>+JAN.26!E4+JAN.26!E5-JAN.26!H4</f>
        <v>8880000</v>
      </c>
      <c r="C4" s="7">
        <f>B4*B2/2</f>
        <v>44400</v>
      </c>
      <c r="D4" s="7">
        <f>B4*B2/2</f>
        <v>44400</v>
      </c>
      <c r="E4" s="34">
        <f>+JAN.26!E6</f>
        <v>10000000</v>
      </c>
      <c r="F4" s="7">
        <f>E4*E2/2</f>
        <v>250000</v>
      </c>
      <c r="G4" s="7">
        <f>E4*E2/2</f>
        <v>250000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f>+JAN.26!E13+JAN.26!E14</f>
        <v>1750000</v>
      </c>
      <c r="C5" s="7">
        <f>+B5*B2/2</f>
        <v>8750</v>
      </c>
      <c r="D5" s="7">
        <f>+B5*B2/2</f>
        <v>8750</v>
      </c>
      <c r="E5" s="34">
        <v>0</v>
      </c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303150</v>
      </c>
      <c r="D23" s="17">
        <f>+D4+G4+J4+M4+D5+G5+J5+M5</f>
        <v>303150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>
        <f>-(+B9/B4*100)+100</f>
        <v>100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20630000</v>
      </c>
      <c r="I28" s="37">
        <f>+H28+J15+L15</f>
        <v>20630000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  <c r="L29" s="1" t="s">
        <v>97</v>
      </c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303150</v>
      </c>
      <c r="D30" s="17">
        <f>+D23+D24-D25-D26-D27-D28-D29</f>
        <v>303150</v>
      </c>
      <c r="E30" s="17">
        <f>+E23+E24-E25-E26-E27-E28-E29</f>
        <v>0</v>
      </c>
      <c r="F30" s="38">
        <f>B30+C30+D30</f>
        <v>606300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303150</v>
      </c>
      <c r="D33" s="17">
        <f>IF(D30&lt;=0,0,IF(B30+B29&gt;=0,D30,IF(AND(D30&gt;0,B30+C30+B29&lt;0,C30&gt;0),MAX(0,D30+C30+B30+B29),IF(AND(D30&gt;0,B30&lt;0,C30&lt;=0),MAX(0,D30+B30+B29),D30))))</f>
        <v>303150</v>
      </c>
      <c r="E33" s="17">
        <f>IF(E30&lt;=0,0,E30)</f>
        <v>0</v>
      </c>
      <c r="F33" s="17">
        <f>SUM(B33:E33)</f>
        <v>606300</v>
      </c>
      <c r="I33" s="9" t="s">
        <v>28</v>
      </c>
      <c r="J33" s="20">
        <v>45524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45524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303150</v>
      </c>
      <c r="D35" s="17">
        <f>SUM(D33:D34)</f>
        <v>303150</v>
      </c>
      <c r="E35" s="17">
        <f>SUM(E33:E34)</f>
        <v>0</v>
      </c>
      <c r="F35" s="17">
        <f>SUM(B35:E35)</f>
        <v>606300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303150</v>
      </c>
      <c r="D37" s="16">
        <f>+D35+D36</f>
        <v>303150</v>
      </c>
      <c r="E37" s="16">
        <f>+E35+E36</f>
        <v>0</v>
      </c>
      <c r="F37" s="16">
        <f>SUMIF(B37:E37,"&gt;0")</f>
        <v>606300</v>
      </c>
      <c r="I37" s="1" t="s">
        <v>19</v>
      </c>
      <c r="J37" s="23">
        <f>F37+J36</f>
        <v>606300</v>
      </c>
      <c r="K37" s="23"/>
      <c r="L37" s="23"/>
      <c r="M37" s="23"/>
    </row>
  </sheetData>
  <sheetProtection password="C5DA" sheet="1" objects="1" scenarios="1" selectLockedCells="1"/>
  <mergeCells count="31">
    <mergeCell ref="L17:M17"/>
    <mergeCell ref="J18:K18"/>
    <mergeCell ref="L18:M18"/>
    <mergeCell ref="J19:K19"/>
    <mergeCell ref="L19:M19"/>
    <mergeCell ref="L13:M13"/>
    <mergeCell ref="J14:K14"/>
    <mergeCell ref="L14:M14"/>
    <mergeCell ref="J15:K15"/>
    <mergeCell ref="L15:M15"/>
    <mergeCell ref="B17:C17"/>
    <mergeCell ref="D17:E17"/>
    <mergeCell ref="F17:G17"/>
    <mergeCell ref="H17:I17"/>
    <mergeCell ref="J17:K17"/>
    <mergeCell ref="B7:D7"/>
    <mergeCell ref="E7:G7"/>
    <mergeCell ref="H7:J7"/>
    <mergeCell ref="K7:M7"/>
    <mergeCell ref="N7:O7"/>
    <mergeCell ref="B13:C13"/>
    <mergeCell ref="D13:E13"/>
    <mergeCell ref="F13:G13"/>
    <mergeCell ref="H13:I13"/>
    <mergeCell ref="J13:K13"/>
    <mergeCell ref="A1:O1"/>
    <mergeCell ref="B2:D2"/>
    <mergeCell ref="E2:G2"/>
    <mergeCell ref="H2:J2"/>
    <mergeCell ref="K2:M2"/>
    <mergeCell ref="N2:O2"/>
  </mergeCells>
  <pageMargins left="0.17" right="0.17" top="0.3" bottom="0.17" header="0.3" footer="0.17"/>
  <pageSetup paperSize="9" scale="5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5CB8-4D2E-4CD8-B6A5-3BB3484802A6}">
  <dimension ref="A1:L20"/>
  <sheetViews>
    <sheetView topLeftCell="B1" zoomScale="110" zoomScaleNormal="110" workbookViewId="0">
      <selection activeCell="E13" sqref="E13"/>
    </sheetView>
  </sheetViews>
  <sheetFormatPr defaultRowHeight="15" x14ac:dyDescent="0.25"/>
  <cols>
    <col min="1" max="1" width="7.140625" bestFit="1" customWidth="1"/>
    <col min="2" max="2" width="12.140625" customWidth="1"/>
    <col min="3" max="3" width="9.85546875" bestFit="1" customWidth="1"/>
    <col min="4" max="4" width="35.42578125" bestFit="1" customWidth="1"/>
    <col min="5" max="5" width="23.42578125" bestFit="1" customWidth="1"/>
    <col min="6" max="6" width="10" bestFit="1" customWidth="1"/>
    <col min="7" max="7" width="11.5703125" bestFit="1" customWidth="1"/>
    <col min="8" max="8" width="21.7109375" bestFit="1" customWidth="1"/>
    <col min="9" max="9" width="28" bestFit="1" customWidth="1"/>
    <col min="10" max="10" width="15.5703125" bestFit="1" customWidth="1"/>
    <col min="12" max="12" width="11.5703125" style="68" bestFit="1" customWidth="1"/>
  </cols>
  <sheetData>
    <row r="1" spans="1:10" ht="21" x14ac:dyDescent="0.35">
      <c r="E1" s="106" t="s">
        <v>80</v>
      </c>
      <c r="F1" s="106"/>
      <c r="G1" s="106"/>
      <c r="H1" s="106"/>
      <c r="I1" s="106"/>
    </row>
    <row r="3" spans="1:10" ht="15.75" x14ac:dyDescent="0.25">
      <c r="A3" s="59" t="s">
        <v>81</v>
      </c>
      <c r="B3" s="59" t="s">
        <v>50</v>
      </c>
      <c r="C3" s="59" t="s">
        <v>54</v>
      </c>
      <c r="D3" s="69" t="s">
        <v>55</v>
      </c>
      <c r="E3" s="69" t="s">
        <v>56</v>
      </c>
      <c r="F3" s="69" t="s">
        <v>49</v>
      </c>
      <c r="G3" s="69" t="s">
        <v>64</v>
      </c>
      <c r="H3" s="69" t="s">
        <v>57</v>
      </c>
      <c r="I3" s="69" t="s">
        <v>58</v>
      </c>
      <c r="J3" s="69" t="s">
        <v>82</v>
      </c>
    </row>
    <row r="4" spans="1:10" x14ac:dyDescent="0.25">
      <c r="A4">
        <v>1</v>
      </c>
      <c r="B4" s="85">
        <v>46045</v>
      </c>
      <c r="C4">
        <v>905</v>
      </c>
      <c r="D4" t="s">
        <v>104</v>
      </c>
      <c r="E4" s="84">
        <v>4490000</v>
      </c>
      <c r="F4" s="89">
        <f>E4*1%</f>
        <v>44900</v>
      </c>
      <c r="G4" s="89">
        <v>0</v>
      </c>
      <c r="H4" s="89">
        <v>100000</v>
      </c>
      <c r="I4" s="89">
        <f>H4*1%</f>
        <v>1000</v>
      </c>
      <c r="J4" s="89">
        <f>F4-I4</f>
        <v>43900</v>
      </c>
    </row>
    <row r="5" spans="1:10" x14ac:dyDescent="0.25">
      <c r="A5">
        <v>2</v>
      </c>
      <c r="B5" s="85">
        <v>46045</v>
      </c>
      <c r="C5" s="67">
        <v>1704</v>
      </c>
      <c r="D5" s="71" t="s">
        <v>106</v>
      </c>
      <c r="E5" s="84">
        <v>4490000</v>
      </c>
      <c r="F5" s="89">
        <f>E5*1%</f>
        <v>44900</v>
      </c>
      <c r="J5" s="89">
        <f>F5-I5</f>
        <v>44900</v>
      </c>
    </row>
    <row r="6" spans="1:10" x14ac:dyDescent="0.25">
      <c r="A6">
        <v>3</v>
      </c>
      <c r="B6" s="85">
        <v>46045</v>
      </c>
      <c r="C6" s="67">
        <v>1706</v>
      </c>
      <c r="D6" s="71" t="s">
        <v>107</v>
      </c>
      <c r="E6" s="84">
        <v>10000000</v>
      </c>
      <c r="F6" s="89">
        <v>0</v>
      </c>
      <c r="G6" s="89">
        <f>E6*5%</f>
        <v>500000</v>
      </c>
      <c r="H6" s="89"/>
      <c r="I6" s="89">
        <f>H6*5%</f>
        <v>0</v>
      </c>
      <c r="J6" s="89">
        <f>G6-I6</f>
        <v>500000</v>
      </c>
    </row>
    <row r="7" spans="1:10" x14ac:dyDescent="0.25">
      <c r="A7" s="59"/>
      <c r="B7" s="59"/>
      <c r="C7" s="59"/>
      <c r="D7" s="59"/>
      <c r="E7" s="59"/>
      <c r="F7" s="89">
        <v>0</v>
      </c>
      <c r="G7" s="59"/>
      <c r="H7" s="59"/>
      <c r="I7" s="89">
        <v>0</v>
      </c>
      <c r="J7" s="79">
        <f>SUM(J4:J6)</f>
        <v>588800</v>
      </c>
    </row>
    <row r="10" spans="1:10" ht="23.25" x14ac:dyDescent="0.35">
      <c r="E10" s="109" t="s">
        <v>61</v>
      </c>
      <c r="F10" s="109"/>
      <c r="G10" s="109"/>
      <c r="H10" s="109"/>
      <c r="I10" s="109"/>
    </row>
    <row r="12" spans="1:10" x14ac:dyDescent="0.25">
      <c r="C12" t="s">
        <v>54</v>
      </c>
      <c r="D12" s="67" t="s">
        <v>51</v>
      </c>
      <c r="E12" s="67" t="s">
        <v>84</v>
      </c>
      <c r="F12" s="67" t="s">
        <v>49</v>
      </c>
      <c r="G12" s="67" t="s">
        <v>64</v>
      </c>
    </row>
    <row r="13" spans="1:10" x14ac:dyDescent="0.25">
      <c r="C13">
        <v>1804</v>
      </c>
      <c r="D13" s="90" t="s">
        <v>103</v>
      </c>
      <c r="E13" s="84">
        <v>1500000</v>
      </c>
      <c r="F13" s="73">
        <f>E13*1%</f>
        <v>15000</v>
      </c>
      <c r="G13" s="73">
        <v>0</v>
      </c>
    </row>
    <row r="14" spans="1:10" x14ac:dyDescent="0.25">
      <c r="C14">
        <v>1604</v>
      </c>
      <c r="D14" s="90" t="s">
        <v>108</v>
      </c>
      <c r="E14" s="68">
        <v>250000</v>
      </c>
      <c r="F14" s="73">
        <f>E14*1%</f>
        <v>2500</v>
      </c>
      <c r="G14" s="73">
        <v>0</v>
      </c>
    </row>
    <row r="15" spans="1:10" x14ac:dyDescent="0.25">
      <c r="D15" s="70"/>
      <c r="F15" s="73"/>
      <c r="G15" s="73">
        <f>E15*5%</f>
        <v>0</v>
      </c>
    </row>
    <row r="16" spans="1:10" x14ac:dyDescent="0.25">
      <c r="D16" s="70"/>
      <c r="F16" s="73">
        <f>E16*1%</f>
        <v>0</v>
      </c>
      <c r="G16" s="73">
        <v>0</v>
      </c>
    </row>
    <row r="17" spans="4:11" x14ac:dyDescent="0.25">
      <c r="E17" s="74">
        <f>SUM(E13:E16)</f>
        <v>1750000</v>
      </c>
      <c r="F17" s="74">
        <f>SUM(F13:F16)</f>
        <v>17500</v>
      </c>
      <c r="G17" s="74">
        <f>SUM(G13:G16)</f>
        <v>0</v>
      </c>
      <c r="H17" s="75">
        <v>0</v>
      </c>
      <c r="I17" s="75">
        <f>J7+F17+G17-I16</f>
        <v>606300</v>
      </c>
      <c r="J17" s="68"/>
      <c r="K17" s="75"/>
    </row>
    <row r="19" spans="4:11" x14ac:dyDescent="0.25">
      <c r="I19" s="75"/>
    </row>
    <row r="20" spans="4:11" x14ac:dyDescent="0.25">
      <c r="D20" s="59"/>
    </row>
  </sheetData>
  <mergeCells count="2">
    <mergeCell ref="E1:I1"/>
    <mergeCell ref="E10:I10"/>
  </mergeCells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7714-EAC0-493A-BC76-1A976AF6F66D}">
  <dimension ref="A1:O37"/>
  <sheetViews>
    <sheetView view="pageBreakPreview" zoomScale="70" zoomScaleNormal="130" zoomScaleSheetLayoutView="70" workbookViewId="0">
      <selection activeCell="J13" sqref="J13:K13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112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/>
      <c r="C4" s="7">
        <f>B4*B2/2</f>
        <v>0</v>
      </c>
      <c r="D4" s="7">
        <f>B4*B2/2</f>
        <v>0</v>
      </c>
      <c r="E4" s="34">
        <f>+FEB.26!D4</f>
        <v>10500000</v>
      </c>
      <c r="F4" s="7">
        <f>E4*E2/2</f>
        <v>262500</v>
      </c>
      <c r="G4" s="7">
        <f>E4*E2/2</f>
        <v>262500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f>+FEB.26!D14</f>
        <v>250000</v>
      </c>
      <c r="C5" s="7">
        <f>+B5*B2/2</f>
        <v>1250</v>
      </c>
      <c r="D5" s="7">
        <f>+B5*B2/2</f>
        <v>1250</v>
      </c>
      <c r="E5" s="34">
        <f>+FEB.26!D15+FEB.26!D16</f>
        <v>251000</v>
      </c>
      <c r="F5" s="7">
        <f>E5*E2/2</f>
        <v>6275</v>
      </c>
      <c r="G5" s="7">
        <f>E5*E2/2</f>
        <v>6275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270025</v>
      </c>
      <c r="D23" s="17">
        <f>+D4+G4+J4+M4+D5+G5+J5+M5</f>
        <v>270025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 t="e">
        <f>-(+B9/B4*100)+100</f>
        <v>#DIV/0!</v>
      </c>
      <c r="I26" s="24">
        <f>-(+E9/E4*100)+100</f>
        <v>100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11001000</v>
      </c>
      <c r="I28" s="37">
        <f>+H28+J15+L15</f>
        <v>11001000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  <c r="L29" s="1" t="s">
        <v>97</v>
      </c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270025</v>
      </c>
      <c r="D30" s="17">
        <f>+D23+D24-D25-D26-D27-D28-D29</f>
        <v>270025</v>
      </c>
      <c r="E30" s="17">
        <f>+E23+E24-E25-E26-E27-E28-E29</f>
        <v>0</v>
      </c>
      <c r="F30" s="38">
        <f>B30+C30+D30</f>
        <v>540050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270025</v>
      </c>
      <c r="D33" s="17">
        <f>IF(D30&lt;=0,0,IF(B30+B29&gt;=0,D30,IF(AND(D30&gt;0,B30+C30+B29&lt;0,C30&gt;0),MAX(0,D30+C30+B30+B29),IF(AND(D30&gt;0,B30&lt;0,C30&lt;=0),MAX(0,D30+B30+B29),D30))))</f>
        <v>270025</v>
      </c>
      <c r="E33" s="17">
        <f>IF(E30&lt;=0,0,E30)</f>
        <v>0</v>
      </c>
      <c r="F33" s="17">
        <f>SUM(B33:E33)</f>
        <v>540050</v>
      </c>
      <c r="I33" s="9" t="s">
        <v>28</v>
      </c>
      <c r="J33" s="20">
        <v>45524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45524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270025</v>
      </c>
      <c r="D35" s="17">
        <f>SUM(D33:D34)</f>
        <v>270025</v>
      </c>
      <c r="E35" s="17">
        <f>SUM(E33:E34)</f>
        <v>0</v>
      </c>
      <c r="F35" s="17">
        <f>SUM(B35:E35)</f>
        <v>540050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270025</v>
      </c>
      <c r="D37" s="16">
        <f>+D35+D36</f>
        <v>270025</v>
      </c>
      <c r="E37" s="16">
        <f>+E35+E36</f>
        <v>0</v>
      </c>
      <c r="F37" s="16">
        <f>SUMIF(B37:E37,"&gt;0")</f>
        <v>540050</v>
      </c>
      <c r="I37" s="1" t="s">
        <v>19</v>
      </c>
      <c r="J37" s="23">
        <f>F37+J36</f>
        <v>540050</v>
      </c>
      <c r="K37" s="23"/>
      <c r="L37" s="23"/>
      <c r="M37" s="23"/>
    </row>
  </sheetData>
  <sheetProtection password="C5DA" sheet="1" objects="1" scenarios="1" selectLockedCells="1"/>
  <mergeCells count="31">
    <mergeCell ref="L17:M17"/>
    <mergeCell ref="J18:K18"/>
    <mergeCell ref="L18:M18"/>
    <mergeCell ref="J19:K19"/>
    <mergeCell ref="L19:M19"/>
    <mergeCell ref="L13:M13"/>
    <mergeCell ref="J14:K14"/>
    <mergeCell ref="L14:M14"/>
    <mergeCell ref="J15:K15"/>
    <mergeCell ref="L15:M15"/>
    <mergeCell ref="B17:C17"/>
    <mergeCell ref="D17:E17"/>
    <mergeCell ref="F17:G17"/>
    <mergeCell ref="H17:I17"/>
    <mergeCell ref="J17:K17"/>
    <mergeCell ref="B7:D7"/>
    <mergeCell ref="E7:G7"/>
    <mergeCell ref="H7:J7"/>
    <mergeCell ref="K7:M7"/>
    <mergeCell ref="N7:O7"/>
    <mergeCell ref="B13:C13"/>
    <mergeCell ref="D13:E13"/>
    <mergeCell ref="F13:G13"/>
    <mergeCell ref="H13:I13"/>
    <mergeCell ref="J13:K13"/>
    <mergeCell ref="A1:O1"/>
    <mergeCell ref="B2:D2"/>
    <mergeCell ref="E2:G2"/>
    <mergeCell ref="H2:J2"/>
    <mergeCell ref="K2:M2"/>
    <mergeCell ref="N2:O2"/>
  </mergeCells>
  <pageMargins left="0.17" right="0.17" top="0.3" bottom="0.17" header="0.3" footer="0.17"/>
  <pageSetup paperSize="9" scale="5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0083-6C2B-43F1-9FB0-3D8256CD909F}">
  <dimension ref="A1:K20"/>
  <sheetViews>
    <sheetView workbookViewId="0">
      <selection activeCell="D4" sqref="D4"/>
    </sheetView>
  </sheetViews>
  <sheetFormatPr defaultRowHeight="15" x14ac:dyDescent="0.25"/>
  <cols>
    <col min="1" max="1" width="7.140625" bestFit="1" customWidth="1"/>
    <col min="2" max="2" width="9.85546875" bestFit="1" customWidth="1"/>
    <col min="3" max="3" width="35.42578125" bestFit="1" customWidth="1"/>
    <col min="4" max="4" width="23.42578125" bestFit="1" customWidth="1"/>
    <col min="5" max="5" width="10" bestFit="1" customWidth="1"/>
    <col min="6" max="6" width="11.5703125" bestFit="1" customWidth="1"/>
    <col min="7" max="7" width="21.7109375" bestFit="1" customWidth="1"/>
    <col min="8" max="8" width="28" bestFit="1" customWidth="1"/>
    <col min="9" max="9" width="15.5703125" bestFit="1" customWidth="1"/>
    <col min="11" max="11" width="11.5703125" style="68" bestFit="1" customWidth="1"/>
  </cols>
  <sheetData>
    <row r="1" spans="1:9" ht="21" x14ac:dyDescent="0.35">
      <c r="D1" s="106" t="s">
        <v>80</v>
      </c>
      <c r="E1" s="106"/>
      <c r="F1" s="106"/>
      <c r="G1" s="106"/>
      <c r="H1" s="106"/>
    </row>
    <row r="3" spans="1:9" ht="15.75" x14ac:dyDescent="0.25">
      <c r="A3" s="59" t="s">
        <v>81</v>
      </c>
      <c r="B3" s="59" t="s">
        <v>54</v>
      </c>
      <c r="C3" s="69" t="s">
        <v>55</v>
      </c>
      <c r="D3" s="69" t="s">
        <v>56</v>
      </c>
      <c r="E3" s="69" t="s">
        <v>49</v>
      </c>
      <c r="F3" s="69" t="s">
        <v>64</v>
      </c>
      <c r="G3" s="69" t="s">
        <v>57</v>
      </c>
      <c r="H3" s="69" t="s">
        <v>58</v>
      </c>
      <c r="I3" s="69" t="s">
        <v>82</v>
      </c>
    </row>
    <row r="4" spans="1:9" x14ac:dyDescent="0.25">
      <c r="A4">
        <v>1</v>
      </c>
      <c r="B4">
        <v>1901</v>
      </c>
      <c r="C4" t="s">
        <v>109</v>
      </c>
      <c r="D4" s="68">
        <v>10500000</v>
      </c>
      <c r="E4" s="89">
        <v>0</v>
      </c>
      <c r="F4" s="89">
        <f>D4*5%</f>
        <v>525000</v>
      </c>
      <c r="G4" s="89">
        <v>0</v>
      </c>
      <c r="H4" s="89">
        <f>G4*1%</f>
        <v>0</v>
      </c>
      <c r="I4" s="89">
        <f>F4-H4</f>
        <v>525000</v>
      </c>
    </row>
    <row r="5" spans="1:9" x14ac:dyDescent="0.25">
      <c r="A5">
        <v>2</v>
      </c>
      <c r="B5" s="67"/>
      <c r="C5" s="71"/>
      <c r="D5" s="68"/>
      <c r="E5" s="89">
        <f>D5*1%</f>
        <v>0</v>
      </c>
      <c r="I5" s="89">
        <f>E5-H5</f>
        <v>0</v>
      </c>
    </row>
    <row r="6" spans="1:9" x14ac:dyDescent="0.25">
      <c r="A6">
        <v>3</v>
      </c>
      <c r="B6" s="67"/>
      <c r="C6" s="71"/>
      <c r="D6" s="68"/>
      <c r="E6" s="89">
        <v>0</v>
      </c>
      <c r="F6" s="89">
        <f>D6*5%</f>
        <v>0</v>
      </c>
      <c r="G6" s="89"/>
      <c r="H6" s="89">
        <f>G6*5%</f>
        <v>0</v>
      </c>
      <c r="I6" s="89">
        <f>F6-H6</f>
        <v>0</v>
      </c>
    </row>
    <row r="7" spans="1:9" x14ac:dyDescent="0.25">
      <c r="A7" s="59"/>
      <c r="B7" s="59"/>
      <c r="C7" s="59"/>
      <c r="D7" s="59"/>
      <c r="E7" s="59"/>
      <c r="F7" s="59"/>
      <c r="G7" s="59"/>
      <c r="H7" s="89">
        <v>0</v>
      </c>
      <c r="I7" s="79">
        <f>SUM(I4:I6)</f>
        <v>525000</v>
      </c>
    </row>
    <row r="10" spans="1:9" ht="23.25" x14ac:dyDescent="0.35">
      <c r="D10" s="109" t="s">
        <v>61</v>
      </c>
      <c r="E10" s="109"/>
      <c r="F10" s="109"/>
      <c r="G10" s="109"/>
      <c r="H10" s="109"/>
    </row>
    <row r="12" spans="1:9" x14ac:dyDescent="0.25">
      <c r="B12" t="s">
        <v>54</v>
      </c>
      <c r="C12" s="67" t="s">
        <v>51</v>
      </c>
      <c r="D12" s="67" t="s">
        <v>84</v>
      </c>
      <c r="E12" s="67" t="s">
        <v>49</v>
      </c>
      <c r="F12" s="67" t="s">
        <v>64</v>
      </c>
    </row>
    <row r="13" spans="1:9" x14ac:dyDescent="0.25">
      <c r="D13" s="68"/>
      <c r="E13" s="73">
        <f>D13*1%</f>
        <v>0</v>
      </c>
      <c r="F13" s="73">
        <v>0</v>
      </c>
    </row>
    <row r="14" spans="1:9" x14ac:dyDescent="0.25">
      <c r="B14">
        <v>1604</v>
      </c>
      <c r="C14" t="s">
        <v>108</v>
      </c>
      <c r="D14" s="68">
        <v>250000</v>
      </c>
      <c r="E14" s="68">
        <f>D14*1%</f>
        <v>2500</v>
      </c>
      <c r="F14" s="68">
        <v>0</v>
      </c>
      <c r="G14" s="68"/>
    </row>
    <row r="15" spans="1:9" x14ac:dyDescent="0.25">
      <c r="B15">
        <v>1201</v>
      </c>
      <c r="C15" s="70" t="s">
        <v>110</v>
      </c>
      <c r="D15" s="68">
        <v>200000</v>
      </c>
      <c r="E15" s="68"/>
      <c r="F15" s="68">
        <f>D15*5%</f>
        <v>10000</v>
      </c>
      <c r="G15" s="68"/>
    </row>
    <row r="16" spans="1:9" x14ac:dyDescent="0.25">
      <c r="B16">
        <v>506</v>
      </c>
      <c r="C16" s="70" t="s">
        <v>111</v>
      </c>
      <c r="D16" s="68">
        <v>51000</v>
      </c>
      <c r="E16" s="68">
        <v>0</v>
      </c>
      <c r="F16" s="68">
        <f>D16*5%</f>
        <v>2550</v>
      </c>
      <c r="G16" s="68"/>
    </row>
    <row r="17" spans="3:10" x14ac:dyDescent="0.25">
      <c r="D17" s="68"/>
      <c r="E17" s="82">
        <f>SUM(E13:E16)</f>
        <v>2500</v>
      </c>
      <c r="F17" s="82">
        <f>SUM(F13:F16)</f>
        <v>12550</v>
      </c>
      <c r="G17" s="68">
        <v>0</v>
      </c>
      <c r="H17" s="75">
        <f>I7+E17+F17-H16</f>
        <v>540050</v>
      </c>
      <c r="I17" s="68"/>
      <c r="J17" s="75"/>
    </row>
    <row r="18" spans="3:10" x14ac:dyDescent="0.25">
      <c r="D18" s="68"/>
      <c r="E18" s="68"/>
      <c r="F18" s="68"/>
      <c r="G18" s="68"/>
    </row>
    <row r="19" spans="3:10" x14ac:dyDescent="0.25">
      <c r="H19" s="75"/>
    </row>
    <row r="20" spans="3:10" x14ac:dyDescent="0.25">
      <c r="C20" s="59"/>
    </row>
  </sheetData>
  <mergeCells count="2">
    <mergeCell ref="D1:H1"/>
    <mergeCell ref="D10:H10"/>
  </mergeCells>
  <pageMargins left="0.7" right="0.7" top="0.75" bottom="0.75" header="0.3" footer="0.3"/>
  <pageSetup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41BA-A091-48D2-A726-613BE8A8B14E}">
  <dimension ref="A1:O37"/>
  <sheetViews>
    <sheetView view="pageBreakPreview" zoomScale="70" zoomScaleNormal="130" zoomScaleSheetLayoutView="70" workbookViewId="0">
      <selection activeCell="C4" sqref="C4:D5"/>
    </sheetView>
  </sheetViews>
  <sheetFormatPr defaultColWidth="9.140625" defaultRowHeight="30" customHeight="1" x14ac:dyDescent="0.25"/>
  <cols>
    <col min="1" max="1" width="24.7109375" style="1" customWidth="1"/>
    <col min="2" max="15" width="17" style="1" customWidth="1"/>
    <col min="16" max="16384" width="9.140625" style="1"/>
  </cols>
  <sheetData>
    <row r="1" spans="1:15" ht="30" customHeight="1" x14ac:dyDescent="0.25">
      <c r="A1" s="105" t="s">
        <v>113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s="3" customFormat="1" ht="30" customHeight="1" x14ac:dyDescent="0.25">
      <c r="A2" s="2" t="s">
        <v>1</v>
      </c>
      <c r="B2" s="101">
        <v>0.01</v>
      </c>
      <c r="C2" s="102"/>
      <c r="D2" s="103"/>
      <c r="E2" s="101">
        <v>0.05</v>
      </c>
      <c r="F2" s="102"/>
      <c r="G2" s="103"/>
      <c r="H2" s="101">
        <v>0.18</v>
      </c>
      <c r="I2" s="102"/>
      <c r="J2" s="103"/>
      <c r="K2" s="101">
        <v>0.28000000000000003</v>
      </c>
      <c r="L2" s="102"/>
      <c r="M2" s="103"/>
      <c r="N2" s="104" t="s">
        <v>2</v>
      </c>
      <c r="O2" s="104"/>
    </row>
    <row r="3" spans="1:15" s="5" customFormat="1" ht="30" customHeight="1" x14ac:dyDescent="0.25">
      <c r="A3" s="33"/>
      <c r="B3" s="35" t="s">
        <v>5</v>
      </c>
      <c r="C3" s="33" t="s">
        <v>4</v>
      </c>
      <c r="D3" s="33" t="s">
        <v>3</v>
      </c>
      <c r="E3" s="35" t="s">
        <v>5</v>
      </c>
      <c r="F3" s="33" t="s">
        <v>4</v>
      </c>
      <c r="G3" s="33" t="s">
        <v>3</v>
      </c>
      <c r="H3" s="35" t="s">
        <v>5</v>
      </c>
      <c r="I3" s="33" t="s">
        <v>4</v>
      </c>
      <c r="J3" s="33" t="s">
        <v>3</v>
      </c>
      <c r="K3" s="35" t="s">
        <v>5</v>
      </c>
      <c r="L3" s="33" t="s">
        <v>4</v>
      </c>
      <c r="M3" s="33" t="s">
        <v>3</v>
      </c>
      <c r="N3" s="35" t="s">
        <v>5</v>
      </c>
      <c r="O3" s="4">
        <v>0.12</v>
      </c>
    </row>
    <row r="4" spans="1:15" s="8" customFormat="1" ht="30" customHeight="1" x14ac:dyDescent="0.25">
      <c r="A4" s="6" t="s">
        <v>63</v>
      </c>
      <c r="B4" s="34">
        <f>+MAR.26!D4-MAR.26!G4</f>
        <v>1890000</v>
      </c>
      <c r="C4" s="7">
        <f>B4*B2/2</f>
        <v>9450</v>
      </c>
      <c r="D4" s="7">
        <f>B4*B2/2</f>
        <v>9450</v>
      </c>
      <c r="E4" s="34"/>
      <c r="F4" s="7">
        <f>E4*E2/2</f>
        <v>0</v>
      </c>
      <c r="G4" s="7">
        <f>E4*E2/2</f>
        <v>0</v>
      </c>
      <c r="H4" s="34">
        <v>0</v>
      </c>
      <c r="I4" s="7">
        <f>H4*H2/2</f>
        <v>0</v>
      </c>
      <c r="J4" s="7">
        <f>H4*H2/2</f>
        <v>0</v>
      </c>
      <c r="K4" s="34">
        <v>0</v>
      </c>
      <c r="L4" s="7">
        <f>K4*K2/2</f>
        <v>0</v>
      </c>
      <c r="M4" s="7">
        <f>K4*K2/2</f>
        <v>0</v>
      </c>
      <c r="N4" s="34"/>
      <c r="O4" s="7">
        <f>N4*O3</f>
        <v>0</v>
      </c>
    </row>
    <row r="5" spans="1:15" ht="30" customHeight="1" x14ac:dyDescent="0.25">
      <c r="A5" s="6" t="s">
        <v>52</v>
      </c>
      <c r="B5" s="34">
        <f>+MAR.26!D13</f>
        <v>200000</v>
      </c>
      <c r="C5" s="7">
        <f>+B5*B2/2</f>
        <v>1000</v>
      </c>
      <c r="D5" s="7">
        <f>+B5*B2/2</f>
        <v>1000</v>
      </c>
      <c r="E5" s="34"/>
      <c r="F5" s="7">
        <f>E5*E2/2</f>
        <v>0</v>
      </c>
      <c r="G5" s="7">
        <f>E5*E2/2</f>
        <v>0</v>
      </c>
      <c r="H5" s="34"/>
      <c r="I5" s="7"/>
      <c r="J5" s="7"/>
      <c r="K5" s="34"/>
      <c r="L5" s="7">
        <f>K5*K2/2</f>
        <v>0</v>
      </c>
      <c r="M5" s="7">
        <f>K5*K2/2</f>
        <v>0</v>
      </c>
      <c r="N5" s="34"/>
      <c r="O5" s="7">
        <f>N5*O3</f>
        <v>0</v>
      </c>
    </row>
    <row r="6" spans="1:15" ht="30" customHeight="1" x14ac:dyDescent="0.25">
      <c r="A6" s="9"/>
      <c r="B6" s="42" t="s">
        <v>68</v>
      </c>
      <c r="C6" s="42"/>
      <c r="D6" s="42"/>
      <c r="E6" s="10" t="s">
        <v>68</v>
      </c>
      <c r="F6" s="11"/>
      <c r="G6" s="12"/>
      <c r="H6" s="10"/>
      <c r="I6" s="11"/>
      <c r="J6" s="12"/>
      <c r="K6" s="10"/>
      <c r="L6" s="11"/>
      <c r="M6" s="12"/>
      <c r="N6" s="13"/>
      <c r="O6" s="13"/>
    </row>
    <row r="7" spans="1:15" s="3" customFormat="1" ht="30" customHeight="1" x14ac:dyDescent="0.25">
      <c r="A7" s="2" t="s">
        <v>6</v>
      </c>
      <c r="B7" s="101">
        <v>0.05</v>
      </c>
      <c r="C7" s="102"/>
      <c r="D7" s="103"/>
      <c r="E7" s="101">
        <v>0.12</v>
      </c>
      <c r="F7" s="102"/>
      <c r="G7" s="103"/>
      <c r="H7" s="101">
        <v>0.18</v>
      </c>
      <c r="I7" s="102"/>
      <c r="J7" s="103"/>
      <c r="K7" s="101">
        <v>0.28000000000000003</v>
      </c>
      <c r="L7" s="102"/>
      <c r="M7" s="103"/>
      <c r="N7" s="104" t="s">
        <v>2</v>
      </c>
      <c r="O7" s="104"/>
    </row>
    <row r="8" spans="1:15" s="5" customFormat="1" ht="30" customHeight="1" x14ac:dyDescent="0.25">
      <c r="A8" s="33"/>
      <c r="B8" s="35" t="s">
        <v>5</v>
      </c>
      <c r="C8" s="33" t="s">
        <v>4</v>
      </c>
      <c r="D8" s="33" t="s">
        <v>3</v>
      </c>
      <c r="E8" s="35" t="s">
        <v>5</v>
      </c>
      <c r="F8" s="33" t="s">
        <v>4</v>
      </c>
      <c r="G8" s="33" t="s">
        <v>3</v>
      </c>
      <c r="H8" s="35" t="s">
        <v>5</v>
      </c>
      <c r="I8" s="33" t="s">
        <v>4</v>
      </c>
      <c r="J8" s="33" t="s">
        <v>3</v>
      </c>
      <c r="K8" s="35" t="s">
        <v>5</v>
      </c>
      <c r="L8" s="33" t="s">
        <v>4</v>
      </c>
      <c r="M8" s="33" t="s">
        <v>3</v>
      </c>
      <c r="N8" s="35" t="s">
        <v>5</v>
      </c>
      <c r="O8" s="4">
        <v>0.12</v>
      </c>
    </row>
    <row r="9" spans="1:15" s="8" customFormat="1" ht="30" customHeight="1" x14ac:dyDescent="0.25">
      <c r="A9" s="6" t="s">
        <v>7</v>
      </c>
      <c r="B9" s="34"/>
      <c r="C9" s="7">
        <f>B9*B7/2</f>
        <v>0</v>
      </c>
      <c r="D9" s="7">
        <f>B9*B7/2</f>
        <v>0</v>
      </c>
      <c r="E9" s="34">
        <v>0</v>
      </c>
      <c r="F9" s="7">
        <f>E9*E7/2</f>
        <v>0</v>
      </c>
      <c r="G9" s="7">
        <f>E9*E7/2</f>
        <v>0</v>
      </c>
      <c r="H9" s="34"/>
      <c r="I9" s="7">
        <f>H9*H7/2</f>
        <v>0</v>
      </c>
      <c r="J9" s="7">
        <f>I9</f>
        <v>0</v>
      </c>
      <c r="K9" s="34"/>
      <c r="L9" s="7">
        <f>K9*K7/2</f>
        <v>0</v>
      </c>
      <c r="M9" s="7">
        <f>K9*K7/2</f>
        <v>0</v>
      </c>
      <c r="N9" s="34"/>
      <c r="O9" s="7">
        <f>N9*O8</f>
        <v>0</v>
      </c>
    </row>
    <row r="10" spans="1:15" s="8" customFormat="1" ht="30" customHeight="1" x14ac:dyDescent="0.25">
      <c r="A10" s="6" t="s">
        <v>48</v>
      </c>
      <c r="B10" s="34"/>
      <c r="C10" s="7">
        <f>B10*B7/2</f>
        <v>0</v>
      </c>
      <c r="D10" s="7">
        <f>B10*B7/2</f>
        <v>0</v>
      </c>
      <c r="E10" s="34"/>
      <c r="F10" s="7"/>
      <c r="G10" s="7">
        <f>F10</f>
        <v>0</v>
      </c>
      <c r="H10" s="34"/>
      <c r="I10" s="7">
        <f>H10*H7/2</f>
        <v>0</v>
      </c>
      <c r="J10" s="7">
        <f>+I10</f>
        <v>0</v>
      </c>
      <c r="K10" s="34"/>
      <c r="L10" s="7">
        <f>K10*K7/2</f>
        <v>0</v>
      </c>
      <c r="M10" s="7">
        <f>K10*K7/2</f>
        <v>0</v>
      </c>
      <c r="N10" s="34"/>
      <c r="O10" s="7">
        <f>N10*O8</f>
        <v>0</v>
      </c>
    </row>
    <row r="11" spans="1:15" ht="30" customHeight="1" x14ac:dyDescent="0.25">
      <c r="A11" s="9" t="s">
        <v>20</v>
      </c>
      <c r="B11" s="34"/>
      <c r="C11" s="7">
        <f>B11*B7/2</f>
        <v>0</v>
      </c>
      <c r="D11" s="7">
        <f>B11*B7/2</f>
        <v>0</v>
      </c>
      <c r="E11" s="34"/>
      <c r="F11" s="7">
        <f>E11*E7/2</f>
        <v>0</v>
      </c>
      <c r="G11" s="7">
        <f>E11*E7/2</f>
        <v>0</v>
      </c>
      <c r="H11" s="34"/>
      <c r="I11" s="7">
        <f>H11*H7/2</f>
        <v>0</v>
      </c>
      <c r="J11" s="7">
        <f>H11*H7/2</f>
        <v>0</v>
      </c>
      <c r="K11" s="34"/>
      <c r="L11" s="7">
        <f>K11*K7/2</f>
        <v>0</v>
      </c>
      <c r="M11" s="7">
        <f>L11</f>
        <v>0</v>
      </c>
      <c r="N11" s="34"/>
      <c r="O11" s="7"/>
    </row>
    <row r="12" spans="1:15" ht="30" customHeight="1" x14ac:dyDescent="0.2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</row>
    <row r="13" spans="1:15" s="3" customFormat="1" ht="30" customHeight="1" x14ac:dyDescent="0.25">
      <c r="A13" s="2" t="s">
        <v>8</v>
      </c>
      <c r="B13" s="101">
        <v>0.05</v>
      </c>
      <c r="C13" s="103"/>
      <c r="D13" s="101">
        <v>0.12</v>
      </c>
      <c r="E13" s="103"/>
      <c r="F13" s="101">
        <v>0.18</v>
      </c>
      <c r="G13" s="103"/>
      <c r="H13" s="101">
        <v>0.28000000000000003</v>
      </c>
      <c r="I13" s="103"/>
      <c r="J13" s="98" t="s">
        <v>12</v>
      </c>
      <c r="K13" s="99"/>
      <c r="L13" s="98" t="s">
        <v>34</v>
      </c>
      <c r="M13" s="99"/>
    </row>
    <row r="14" spans="1:15" s="5" customFormat="1" ht="30" customHeight="1" x14ac:dyDescent="0.25">
      <c r="A14" s="33"/>
      <c r="B14" s="33" t="s">
        <v>5</v>
      </c>
      <c r="C14" s="33" t="s">
        <v>9</v>
      </c>
      <c r="D14" s="33" t="s">
        <v>5</v>
      </c>
      <c r="E14" s="33" t="s">
        <v>9</v>
      </c>
      <c r="F14" s="33" t="s">
        <v>5</v>
      </c>
      <c r="G14" s="33" t="s">
        <v>9</v>
      </c>
      <c r="H14" s="33" t="s">
        <v>5</v>
      </c>
      <c r="I14" s="33" t="s">
        <v>9</v>
      </c>
      <c r="J14" s="96" t="s">
        <v>13</v>
      </c>
      <c r="K14" s="96"/>
      <c r="L14" s="96" t="s">
        <v>13</v>
      </c>
      <c r="M14" s="96"/>
      <c r="O14" s="14"/>
    </row>
    <row r="15" spans="1:15" s="8" customFormat="1" ht="30" customHeight="1" x14ac:dyDescent="0.25">
      <c r="A15" s="6" t="s">
        <v>0</v>
      </c>
      <c r="B15" s="7"/>
      <c r="C15" s="7">
        <f>B15*B13</f>
        <v>0</v>
      </c>
      <c r="D15" s="7">
        <v>0</v>
      </c>
      <c r="E15" s="7">
        <f>D15*D13</f>
        <v>0</v>
      </c>
      <c r="F15" s="7"/>
      <c r="G15" s="7"/>
      <c r="H15" s="7"/>
      <c r="I15" s="7">
        <f>H15*H13</f>
        <v>0</v>
      </c>
      <c r="J15" s="97"/>
      <c r="K15" s="97"/>
      <c r="L15" s="97"/>
      <c r="M15" s="97"/>
    </row>
    <row r="17" spans="1:15" s="3" customFormat="1" ht="30" customHeight="1" x14ac:dyDescent="0.25">
      <c r="A17" s="2" t="s">
        <v>10</v>
      </c>
      <c r="B17" s="100">
        <v>0.05</v>
      </c>
      <c r="C17" s="100"/>
      <c r="D17" s="100">
        <v>0.12</v>
      </c>
      <c r="E17" s="100"/>
      <c r="F17" s="100">
        <v>0.18</v>
      </c>
      <c r="G17" s="100"/>
      <c r="H17" s="100">
        <v>0.28000000000000003</v>
      </c>
      <c r="I17" s="100"/>
      <c r="J17" s="95" t="s">
        <v>14</v>
      </c>
      <c r="K17" s="95"/>
      <c r="L17" s="95" t="s">
        <v>40</v>
      </c>
      <c r="M17" s="95"/>
    </row>
    <row r="18" spans="1:15" s="5" customFormat="1" ht="30" customHeight="1" x14ac:dyDescent="0.25">
      <c r="A18" s="33"/>
      <c r="B18" s="35" t="s">
        <v>5</v>
      </c>
      <c r="C18" s="33" t="s">
        <v>9</v>
      </c>
      <c r="D18" s="35" t="s">
        <v>5</v>
      </c>
      <c r="E18" s="33" t="s">
        <v>9</v>
      </c>
      <c r="F18" s="35" t="s">
        <v>5</v>
      </c>
      <c r="G18" s="33" t="s">
        <v>9</v>
      </c>
      <c r="H18" s="35" t="s">
        <v>5</v>
      </c>
      <c r="I18" s="33" t="s">
        <v>9</v>
      </c>
      <c r="J18" s="96" t="s">
        <v>13</v>
      </c>
      <c r="K18" s="96"/>
      <c r="L18" s="96" t="s">
        <v>13</v>
      </c>
      <c r="M18" s="96"/>
      <c r="O18" s="14"/>
    </row>
    <row r="19" spans="1:15" s="8" customFormat="1" ht="30" customHeight="1" x14ac:dyDescent="0.25">
      <c r="A19" s="6" t="s">
        <v>46</v>
      </c>
      <c r="B19" s="34">
        <v>0</v>
      </c>
      <c r="C19" s="7">
        <f>B19*B17</f>
        <v>0</v>
      </c>
      <c r="D19" s="34">
        <v>0</v>
      </c>
      <c r="E19" s="7">
        <f>D19*D17</f>
        <v>0</v>
      </c>
      <c r="F19" s="34"/>
      <c r="G19" s="7">
        <f>F19*F17</f>
        <v>0</v>
      </c>
      <c r="H19" s="34"/>
      <c r="I19" s="7">
        <f>H19*H17</f>
        <v>0</v>
      </c>
      <c r="J19" s="97"/>
      <c r="K19" s="97"/>
      <c r="L19" s="97"/>
      <c r="M19" s="97"/>
    </row>
    <row r="20" spans="1:15" s="8" customFormat="1" ht="30" customHeight="1" x14ac:dyDescent="0.25">
      <c r="A20" s="6" t="s">
        <v>47</v>
      </c>
      <c r="B20" s="34"/>
      <c r="C20" s="7">
        <f>B20*B17</f>
        <v>0</v>
      </c>
      <c r="D20" s="34"/>
      <c r="E20" s="7">
        <f>D20*D17</f>
        <v>0</v>
      </c>
      <c r="F20" s="34">
        <v>0</v>
      </c>
      <c r="G20" s="7">
        <f>F20*F17</f>
        <v>0</v>
      </c>
      <c r="H20" s="34">
        <v>0</v>
      </c>
      <c r="I20" s="7">
        <f>H20*H17</f>
        <v>0</v>
      </c>
      <c r="J20" s="1"/>
      <c r="K20" s="1"/>
      <c r="L20" s="1"/>
      <c r="M20" s="1"/>
    </row>
    <row r="22" spans="1:15" ht="30" customHeight="1" x14ac:dyDescent="0.25">
      <c r="A22" s="29" t="s">
        <v>15</v>
      </c>
      <c r="B22" s="29" t="s">
        <v>9</v>
      </c>
      <c r="C22" s="29" t="s">
        <v>4</v>
      </c>
      <c r="D22" s="29" t="s">
        <v>3</v>
      </c>
      <c r="E22" s="29" t="s">
        <v>2</v>
      </c>
      <c r="G22" s="29" t="s">
        <v>15</v>
      </c>
      <c r="H22" s="29" t="s">
        <v>9</v>
      </c>
      <c r="I22" s="29" t="s">
        <v>4</v>
      </c>
      <c r="J22" s="29" t="s">
        <v>3</v>
      </c>
      <c r="K22" s="31" t="s">
        <v>2</v>
      </c>
      <c r="L22" s="32" t="s">
        <v>41</v>
      </c>
    </row>
    <row r="23" spans="1:15" ht="30" customHeight="1" x14ac:dyDescent="0.25">
      <c r="A23" s="16" t="s">
        <v>16</v>
      </c>
      <c r="B23" s="17">
        <f>+C15+E15+G15+I15</f>
        <v>0</v>
      </c>
      <c r="C23" s="17">
        <f>+C4+F4+I4+L4+C5+F5+I5+L5</f>
        <v>10450</v>
      </c>
      <c r="D23" s="17">
        <f>+D4+G4+J4+M4+D5+G5+J5+M5</f>
        <v>10450</v>
      </c>
      <c r="E23" s="17">
        <f>+O4</f>
        <v>0</v>
      </c>
      <c r="G23" s="16" t="s">
        <v>25</v>
      </c>
      <c r="H23" s="16">
        <v>0</v>
      </c>
      <c r="I23" s="16">
        <f>+C11+F11+I11+L11</f>
        <v>0</v>
      </c>
      <c r="J23" s="16">
        <f>+D11+G11+J11+M11</f>
        <v>0</v>
      </c>
      <c r="K23" s="26">
        <f>+O11</f>
        <v>0</v>
      </c>
      <c r="L23" s="18"/>
    </row>
    <row r="24" spans="1:15" ht="30" customHeight="1" x14ac:dyDescent="0.25">
      <c r="A24" s="16" t="s">
        <v>25</v>
      </c>
      <c r="B24" s="17"/>
      <c r="C24" s="17">
        <f>+C11+F11+I11+L11</f>
        <v>0</v>
      </c>
      <c r="D24" s="17">
        <f>+D11+G11+J11+M11</f>
        <v>0</v>
      </c>
      <c r="E24" s="17"/>
      <c r="G24" s="25"/>
      <c r="H24" s="25"/>
      <c r="I24" s="25"/>
      <c r="J24" s="25"/>
      <c r="K24" s="25"/>
      <c r="L24" s="27"/>
    </row>
    <row r="25" spans="1:15" ht="30" customHeight="1" x14ac:dyDescent="0.25">
      <c r="A25" s="16" t="s">
        <v>22</v>
      </c>
      <c r="B25" s="17">
        <f>C19+E19+G19+I19</f>
        <v>0</v>
      </c>
      <c r="C25" s="17">
        <f t="shared" ref="C25:D27" si="0">+C9+F9+I9+L9</f>
        <v>0</v>
      </c>
      <c r="D25" s="17">
        <f t="shared" si="0"/>
        <v>0</v>
      </c>
      <c r="E25" s="17">
        <f>+O9</f>
        <v>0</v>
      </c>
      <c r="G25" s="29" t="s">
        <v>42</v>
      </c>
      <c r="H25" s="30">
        <v>0.05</v>
      </c>
      <c r="I25" s="30">
        <v>0.12</v>
      </c>
      <c r="J25" s="30">
        <v>0.18</v>
      </c>
      <c r="K25" s="30">
        <v>0.28000000000000003</v>
      </c>
      <c r="L25" s="29" t="s">
        <v>36</v>
      </c>
    </row>
    <row r="26" spans="1:15" ht="30" customHeight="1" x14ac:dyDescent="0.25">
      <c r="A26" s="16" t="s">
        <v>23</v>
      </c>
      <c r="B26" s="17">
        <f>C20+E20+G20+I20</f>
        <v>0</v>
      </c>
      <c r="C26" s="17">
        <f t="shared" si="0"/>
        <v>0</v>
      </c>
      <c r="D26" s="17">
        <f t="shared" si="0"/>
        <v>0</v>
      </c>
      <c r="E26" s="17">
        <f>+O10</f>
        <v>0</v>
      </c>
      <c r="G26" s="17" t="e">
        <f>+-((J19+L19)/(J15+L15)*100)+100</f>
        <v>#DIV/0!</v>
      </c>
      <c r="H26" s="24">
        <f>-(+B9/B4*100)+100</f>
        <v>100</v>
      </c>
      <c r="I26" s="24" t="e">
        <f>-(+E9/E4*100)+100</f>
        <v>#DIV/0!</v>
      </c>
      <c r="J26" s="24" t="e">
        <f>-(+H9/H4*100)+100</f>
        <v>#DIV/0!</v>
      </c>
      <c r="K26" s="24" t="e">
        <f>-(+K9/K4*100)+100</f>
        <v>#DIV/0!</v>
      </c>
      <c r="L26" s="24">
        <f>-(((B9+E9+H9+K9+N9+B19+D19+F19+H19+J19+L19)/(B4+E4+H4+K4+N4+B15+D15+F15+H15+J15+L15))*100)+100</f>
        <v>100</v>
      </c>
    </row>
    <row r="27" spans="1:15" ht="30" customHeight="1" x14ac:dyDescent="0.25">
      <c r="A27" s="16" t="s">
        <v>24</v>
      </c>
      <c r="B27" s="17">
        <f>C21+E21+G21+I21</f>
        <v>0</v>
      </c>
      <c r="C27" s="17">
        <f t="shared" si="0"/>
        <v>0</v>
      </c>
      <c r="D27" s="17">
        <f t="shared" si="0"/>
        <v>0</v>
      </c>
      <c r="E27" s="17">
        <f>+O11</f>
        <v>0</v>
      </c>
      <c r="G27" s="18"/>
      <c r="H27" s="27" t="s">
        <v>45</v>
      </c>
      <c r="I27" s="27" t="s">
        <v>19</v>
      </c>
    </row>
    <row r="28" spans="1:15" ht="30" customHeight="1" x14ac:dyDescent="0.25">
      <c r="A28" s="18" t="s">
        <v>44</v>
      </c>
      <c r="B28" s="19"/>
      <c r="C28" s="7"/>
      <c r="D28" s="7"/>
      <c r="E28" s="19"/>
      <c r="G28" s="16" t="s">
        <v>38</v>
      </c>
      <c r="H28" s="24">
        <f>+B4+B5+E4+E5+H4+H5+K4+K5+B15+D15+F15+H15</f>
        <v>2090000</v>
      </c>
      <c r="I28" s="37">
        <f>+H28+J15+L15</f>
        <v>2090000</v>
      </c>
    </row>
    <row r="29" spans="1:15" ht="30" customHeight="1" x14ac:dyDescent="0.25">
      <c r="A29" s="18" t="s">
        <v>33</v>
      </c>
      <c r="B29" s="19">
        <v>0</v>
      </c>
      <c r="C29" s="7"/>
      <c r="D29" s="7"/>
      <c r="E29" s="19"/>
      <c r="G29" s="16" t="s">
        <v>39</v>
      </c>
      <c r="H29" s="24">
        <f>+B9+E9+H9+K9+B19+D19+F19+H19</f>
        <v>0</v>
      </c>
      <c r="I29" s="37"/>
      <c r="L29" s="1" t="s">
        <v>97</v>
      </c>
    </row>
    <row r="30" spans="1:15" ht="30" customHeight="1" x14ac:dyDescent="0.25">
      <c r="A30" s="16" t="s">
        <v>17</v>
      </c>
      <c r="B30" s="17">
        <f>+B23+B24-B25-B26-B27-B28-B29</f>
        <v>0</v>
      </c>
      <c r="C30" s="17">
        <f>+C23+C24-C25-C26-C27-C28-C29</f>
        <v>10450</v>
      </c>
      <c r="D30" s="17">
        <f>+D23+D24-D25-D26-D27-D28-D29</f>
        <v>10450</v>
      </c>
      <c r="E30" s="17">
        <f>+E23+E24-E25-E26-E27-E28-E29</f>
        <v>0</v>
      </c>
      <c r="F30" s="38">
        <f>B30+C30+D30</f>
        <v>20900</v>
      </c>
      <c r="H30" s="38"/>
    </row>
    <row r="31" spans="1:15" ht="30" customHeight="1" x14ac:dyDescent="0.25">
      <c r="M31" s="21"/>
      <c r="N31" s="21"/>
      <c r="O31" s="21"/>
    </row>
    <row r="32" spans="1:15" ht="30" customHeight="1" x14ac:dyDescent="0.25">
      <c r="A32" s="15" t="s">
        <v>15</v>
      </c>
      <c r="B32" s="29" t="s">
        <v>9</v>
      </c>
      <c r="C32" s="29" t="s">
        <v>4</v>
      </c>
      <c r="D32" s="29" t="s">
        <v>3</v>
      </c>
      <c r="E32" s="29" t="s">
        <v>2</v>
      </c>
      <c r="F32" s="29" t="s">
        <v>19</v>
      </c>
      <c r="I32" s="2" t="s">
        <v>15</v>
      </c>
      <c r="J32" s="33" t="s">
        <v>32</v>
      </c>
    </row>
    <row r="33" spans="1:14" ht="30" customHeight="1" x14ac:dyDescent="0.25">
      <c r="A33" s="16" t="s">
        <v>18</v>
      </c>
      <c r="B33" s="17">
        <f>IF(B30&lt;=0,0,IF(AND(C30+C29&gt;0,D30+D29&gt;0),B30,IF(C30+C29&gt;0,MAX(0,B30+D30+D29),IF(D30+D29&gt;0,MAX(0,B30+C30+C29),IF(AND(C29&lt;&gt;0,C30&lt;0,D30&lt;0),MAX(0,B30+C30+C29+D30+D29),IF(AND(C29&lt;&gt;0,C30&lt;0),MAX(0,B30+C30+C29),IF(D29&lt;&gt;0,MAX(0,B30+C30+C29+D30+D29),IF(AND(C30&lt;0,D30&lt;0),MAX(0,B30+C30+D30),IF(AND(C30&lt;0,D30&gt;=0),MAX(0,B30+C30),IF(AND(C30&gt;=0,D30&lt;0),MAX(0,B30+D30),B30))))))))))</f>
        <v>0</v>
      </c>
      <c r="C33" s="17">
        <f>IF(C30&lt;=0,0,IF(B30+B29&gt;=0,C30,IF(AND(C30&gt;0,B30&lt;0),MAX(0,C30+B30+B29),C30)))</f>
        <v>10450</v>
      </c>
      <c r="D33" s="17">
        <f>IF(D30&lt;=0,0,IF(B30+B29&gt;=0,D30,IF(AND(D30&gt;0,B30+C30+B29&lt;0,C30&gt;0),MAX(0,D30+C30+B30+B29),IF(AND(D30&gt;0,B30&lt;0,C30&lt;=0),MAX(0,D30+B30+B29),D30))))</f>
        <v>10450</v>
      </c>
      <c r="E33" s="17">
        <f>IF(E30&lt;=0,0,E30)</f>
        <v>0</v>
      </c>
      <c r="F33" s="17">
        <f>SUM(B33:E33)</f>
        <v>20900</v>
      </c>
      <c r="I33" s="9" t="s">
        <v>28</v>
      </c>
      <c r="J33" s="20">
        <v>45524</v>
      </c>
      <c r="K33" s="21"/>
      <c r="N33" s="21"/>
    </row>
    <row r="34" spans="1:14" ht="30" customHeight="1" x14ac:dyDescent="0.25">
      <c r="A34" s="16" t="s">
        <v>26</v>
      </c>
      <c r="B34" s="17">
        <f>+H23</f>
        <v>0</v>
      </c>
      <c r="C34" s="17">
        <f>IF(C33&gt;=I23,0,I23-C33)</f>
        <v>0</v>
      </c>
      <c r="D34" s="17">
        <f>IF(D33&gt;=J23,0,J23-D33)</f>
        <v>0</v>
      </c>
      <c r="E34" s="17">
        <f>IF(E33&gt;=K23,0,K23-E33)</f>
        <v>0</v>
      </c>
      <c r="F34" s="17">
        <f>SUM(B34:E34)</f>
        <v>0</v>
      </c>
      <c r="I34" s="9" t="s">
        <v>29</v>
      </c>
      <c r="J34" s="20">
        <v>45524</v>
      </c>
    </row>
    <row r="35" spans="1:14" ht="30" customHeight="1" x14ac:dyDescent="0.25">
      <c r="A35" s="16" t="s">
        <v>27</v>
      </c>
      <c r="B35" s="17">
        <f>SUM(B33:B34)</f>
        <v>0</v>
      </c>
      <c r="C35" s="17">
        <f>SUM(C33:C34)</f>
        <v>10450</v>
      </c>
      <c r="D35" s="17">
        <f>SUM(D33:D34)</f>
        <v>10450</v>
      </c>
      <c r="E35" s="17">
        <f>SUM(E33:E34)</f>
        <v>0</v>
      </c>
      <c r="F35" s="17">
        <f>SUM(B35:E35)</f>
        <v>20900</v>
      </c>
      <c r="I35" s="9" t="s">
        <v>30</v>
      </c>
      <c r="J35" s="36">
        <f>J34-J33</f>
        <v>0</v>
      </c>
      <c r="M35" s="23"/>
      <c r="N35" s="21"/>
    </row>
    <row r="36" spans="1:14" ht="30" customHeight="1" x14ac:dyDescent="0.25">
      <c r="A36" s="16" t="s">
        <v>31</v>
      </c>
      <c r="B36" s="17">
        <f>ROUND((B35*J35/365)*18/100,0)</f>
        <v>0</v>
      </c>
      <c r="C36" s="17">
        <f>ROUND((C35*$J$35/365)*18/100,0)</f>
        <v>0</v>
      </c>
      <c r="D36" s="17">
        <f>ROUND((D35*$J$35/365)*18/100,0)</f>
        <v>0</v>
      </c>
      <c r="E36" s="17">
        <f>ROUND((E35*$J$35/365)*18/100,0)</f>
        <v>0</v>
      </c>
      <c r="F36" s="17">
        <f>SUM(B36:E36)</f>
        <v>0</v>
      </c>
      <c r="I36" s="1" t="s">
        <v>67</v>
      </c>
      <c r="J36" s="23">
        <f>J35*50</f>
        <v>0</v>
      </c>
      <c r="K36" s="23"/>
      <c r="L36" s="23"/>
      <c r="M36" s="23"/>
      <c r="N36" s="23"/>
    </row>
    <row r="37" spans="1:14" ht="30" customHeight="1" x14ac:dyDescent="0.25">
      <c r="A37" s="16" t="s">
        <v>35</v>
      </c>
      <c r="B37" s="24">
        <f>+B35+B36</f>
        <v>0</v>
      </c>
      <c r="C37" s="16">
        <f>+C35+C36</f>
        <v>10450</v>
      </c>
      <c r="D37" s="16">
        <f>+D35+D36</f>
        <v>10450</v>
      </c>
      <c r="E37" s="16">
        <f>+E35+E36</f>
        <v>0</v>
      </c>
      <c r="F37" s="16">
        <f>SUMIF(B37:E37,"&gt;0")</f>
        <v>20900</v>
      </c>
      <c r="I37" s="1" t="s">
        <v>19</v>
      </c>
      <c r="J37" s="23">
        <f>F37+J36</f>
        <v>20900</v>
      </c>
      <c r="K37" s="23"/>
      <c r="L37" s="23"/>
      <c r="M37" s="23"/>
    </row>
  </sheetData>
  <sheetProtection password="C5DA" sheet="1" objects="1" scenarios="1" selectLockedCells="1"/>
  <mergeCells count="31">
    <mergeCell ref="A1:O1"/>
    <mergeCell ref="B2:D2"/>
    <mergeCell ref="E2:G2"/>
    <mergeCell ref="H2:J2"/>
    <mergeCell ref="K2:M2"/>
    <mergeCell ref="N2:O2"/>
    <mergeCell ref="B13:C13"/>
    <mergeCell ref="D13:E13"/>
    <mergeCell ref="F13:G13"/>
    <mergeCell ref="H13:I13"/>
    <mergeCell ref="J13:K13"/>
    <mergeCell ref="B7:D7"/>
    <mergeCell ref="E7:G7"/>
    <mergeCell ref="H7:J7"/>
    <mergeCell ref="K7:M7"/>
    <mergeCell ref="N7:O7"/>
    <mergeCell ref="B17:C17"/>
    <mergeCell ref="D17:E17"/>
    <mergeCell ref="F17:G17"/>
    <mergeCell ref="H17:I17"/>
    <mergeCell ref="J17:K17"/>
    <mergeCell ref="L13:M13"/>
    <mergeCell ref="J14:K14"/>
    <mergeCell ref="L14:M14"/>
    <mergeCell ref="J15:K15"/>
    <mergeCell ref="L15:M15"/>
    <mergeCell ref="L17:M17"/>
    <mergeCell ref="J18:K18"/>
    <mergeCell ref="L18:M18"/>
    <mergeCell ref="J19:K19"/>
    <mergeCell ref="L19:M19"/>
  </mergeCells>
  <pageMargins left="0.17" right="0.17" top="0.3" bottom="0.17" header="0.3" footer="0.17"/>
  <pageSetup paperSize="9" scale="5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60F2-3F4C-435B-8220-8568B4B05361}">
  <dimension ref="A1:K19"/>
  <sheetViews>
    <sheetView workbookViewId="0">
      <selection activeCell="C14" sqref="C14"/>
    </sheetView>
  </sheetViews>
  <sheetFormatPr defaultRowHeight="15" x14ac:dyDescent="0.25"/>
  <cols>
    <col min="1" max="1" width="7.140625" bestFit="1" customWidth="1"/>
    <col min="2" max="2" width="9.85546875" bestFit="1" customWidth="1"/>
    <col min="3" max="3" width="35.42578125" bestFit="1" customWidth="1"/>
    <col min="4" max="4" width="23.42578125" bestFit="1" customWidth="1"/>
    <col min="5" max="5" width="12.5703125" bestFit="1" customWidth="1"/>
    <col min="6" max="6" width="11.5703125" bestFit="1" customWidth="1"/>
    <col min="7" max="7" width="21.7109375" bestFit="1" customWidth="1"/>
    <col min="8" max="8" width="28" bestFit="1" customWidth="1"/>
    <col min="9" max="9" width="15.5703125" bestFit="1" customWidth="1"/>
    <col min="11" max="11" width="11.5703125" style="68" bestFit="1" customWidth="1"/>
  </cols>
  <sheetData>
    <row r="1" spans="1:10" ht="21" x14ac:dyDescent="0.35">
      <c r="D1" s="106" t="s">
        <v>80</v>
      </c>
      <c r="E1" s="106"/>
      <c r="F1" s="106"/>
      <c r="G1" s="106"/>
      <c r="H1" s="106"/>
    </row>
    <row r="3" spans="1:10" ht="15.75" x14ac:dyDescent="0.25">
      <c r="A3" s="59" t="s">
        <v>81</v>
      </c>
      <c r="B3" s="59" t="s">
        <v>54</v>
      </c>
      <c r="C3" s="69" t="s">
        <v>55</v>
      </c>
      <c r="D3" s="69" t="s">
        <v>56</v>
      </c>
      <c r="E3" s="69" t="s">
        <v>49</v>
      </c>
      <c r="F3" s="69" t="s">
        <v>64</v>
      </c>
      <c r="G3" s="69" t="s">
        <v>57</v>
      </c>
      <c r="H3" s="69" t="s">
        <v>58</v>
      </c>
      <c r="I3" s="69" t="s">
        <v>82</v>
      </c>
    </row>
    <row r="4" spans="1:10" x14ac:dyDescent="0.25">
      <c r="A4">
        <v>1</v>
      </c>
      <c r="B4">
        <v>1804</v>
      </c>
      <c r="C4" t="s">
        <v>103</v>
      </c>
      <c r="D4" s="68">
        <v>4490000</v>
      </c>
      <c r="E4" s="89">
        <f>D4*1%</f>
        <v>44900</v>
      </c>
      <c r="F4" s="89">
        <v>0</v>
      </c>
      <c r="G4" s="89">
        <v>2600000</v>
      </c>
      <c r="H4" s="89">
        <f>G4*1%</f>
        <v>26000</v>
      </c>
      <c r="I4" s="89">
        <f>E4-H4</f>
        <v>18900</v>
      </c>
    </row>
    <row r="5" spans="1:10" x14ac:dyDescent="0.25">
      <c r="A5">
        <v>2</v>
      </c>
      <c r="B5" s="67"/>
      <c r="C5" s="71"/>
      <c r="D5" s="68"/>
      <c r="E5" s="89">
        <f>D5*1%</f>
        <v>0</v>
      </c>
      <c r="I5" s="89">
        <f>E5-H5</f>
        <v>0</v>
      </c>
    </row>
    <row r="6" spans="1:10" x14ac:dyDescent="0.25">
      <c r="A6">
        <v>3</v>
      </c>
      <c r="B6" s="67"/>
      <c r="C6" s="71"/>
      <c r="D6" s="68"/>
      <c r="E6" s="89">
        <v>0</v>
      </c>
      <c r="F6" s="89">
        <f>D6*5%</f>
        <v>0</v>
      </c>
      <c r="G6" s="89"/>
      <c r="H6" s="89">
        <f>G6*5%</f>
        <v>0</v>
      </c>
      <c r="I6" s="89">
        <f>F6-H6</f>
        <v>0</v>
      </c>
    </row>
    <row r="7" spans="1:10" x14ac:dyDescent="0.25">
      <c r="A7" s="59"/>
      <c r="B7" s="59"/>
      <c r="C7" s="59"/>
      <c r="D7" s="59"/>
      <c r="E7" s="59"/>
      <c r="F7" s="59"/>
      <c r="G7" s="59"/>
      <c r="H7" s="89">
        <v>0</v>
      </c>
      <c r="I7" s="79">
        <f>SUM(I4:I6)</f>
        <v>18900</v>
      </c>
    </row>
    <row r="10" spans="1:10" ht="23.25" x14ac:dyDescent="0.35">
      <c r="D10" s="109" t="s">
        <v>61</v>
      </c>
      <c r="E10" s="109"/>
      <c r="F10" s="109"/>
      <c r="G10" s="109"/>
      <c r="H10" s="109"/>
    </row>
    <row r="12" spans="1:10" x14ac:dyDescent="0.25">
      <c r="B12" t="s">
        <v>54</v>
      </c>
      <c r="C12" s="67" t="s">
        <v>51</v>
      </c>
      <c r="D12" s="67" t="s">
        <v>84</v>
      </c>
      <c r="E12" s="67" t="s">
        <v>49</v>
      </c>
      <c r="F12" s="67" t="s">
        <v>64</v>
      </c>
    </row>
    <row r="13" spans="1:10" x14ac:dyDescent="0.25">
      <c r="B13">
        <v>1604</v>
      </c>
      <c r="C13" t="s">
        <v>108</v>
      </c>
      <c r="D13" s="68">
        <v>200000</v>
      </c>
      <c r="E13" s="73">
        <f>D13*1%</f>
        <v>2000</v>
      </c>
      <c r="F13" s="73">
        <v>0</v>
      </c>
    </row>
    <row r="14" spans="1:10" x14ac:dyDescent="0.25">
      <c r="C14" s="70"/>
      <c r="E14" s="73"/>
      <c r="F14" s="73"/>
    </row>
    <row r="15" spans="1:10" x14ac:dyDescent="0.25">
      <c r="C15" s="70"/>
      <c r="E15" s="73"/>
      <c r="F15" s="73"/>
    </row>
    <row r="16" spans="1:10" s="68" customFormat="1" x14ac:dyDescent="0.25">
      <c r="A16"/>
      <c r="B16"/>
      <c r="C16"/>
      <c r="D16"/>
      <c r="E16" s="74">
        <f>SUM(E13:E15)</f>
        <v>2000</v>
      </c>
      <c r="F16" s="74">
        <f>SUM(F13:F15)</f>
        <v>0</v>
      </c>
      <c r="G16" s="75">
        <v>0</v>
      </c>
      <c r="H16" s="75">
        <f>I7+E16+F16-H15</f>
        <v>20900</v>
      </c>
      <c r="J16" s="75"/>
    </row>
    <row r="18" spans="1:10" s="68" customFormat="1" x14ac:dyDescent="0.25">
      <c r="A18"/>
      <c r="B18"/>
      <c r="C18"/>
      <c r="D18"/>
      <c r="E18"/>
      <c r="F18"/>
      <c r="G18"/>
      <c r="H18" s="75"/>
      <c r="I18"/>
      <c r="J18"/>
    </row>
    <row r="19" spans="1:10" s="68" customFormat="1" x14ac:dyDescent="0.25">
      <c r="A19"/>
      <c r="B19"/>
      <c r="C19" s="59"/>
      <c r="D19"/>
      <c r="E19"/>
      <c r="F19"/>
      <c r="G19"/>
      <c r="H19"/>
      <c r="I19"/>
      <c r="J19"/>
    </row>
  </sheetData>
  <mergeCells count="2">
    <mergeCell ref="D1:H1"/>
    <mergeCell ref="D10:H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16</vt:i4>
      </vt:variant>
    </vt:vector>
  </HeadingPairs>
  <TitlesOfParts>
    <vt:vector size="43" baseType="lpstr">
      <vt:lpstr>oct17old</vt:lpstr>
      <vt:lpstr>oct old2 </vt:lpstr>
      <vt:lpstr>APR-25</vt:lpstr>
      <vt:lpstr>APR-25 WORKING</vt:lpstr>
      <vt:lpstr>MAY-25</vt:lpstr>
      <vt:lpstr>MAY-25 WORKING</vt:lpstr>
      <vt:lpstr>Sheet1</vt:lpstr>
      <vt:lpstr>JUne-25</vt:lpstr>
      <vt:lpstr>JUNe Working</vt:lpstr>
      <vt:lpstr>July-25</vt:lpstr>
      <vt:lpstr>July Working</vt:lpstr>
      <vt:lpstr>AUG 25</vt:lpstr>
      <vt:lpstr>Aug Working</vt:lpstr>
      <vt:lpstr>Sept 25</vt:lpstr>
      <vt:lpstr>Sept Working</vt:lpstr>
      <vt:lpstr>Oct 25</vt:lpstr>
      <vt:lpstr>Oct Working</vt:lpstr>
      <vt:lpstr>NOV 25</vt:lpstr>
      <vt:lpstr>NOV working</vt:lpstr>
      <vt:lpstr>DEC 25</vt:lpstr>
      <vt:lpstr>DEC working</vt:lpstr>
      <vt:lpstr>JAN 26</vt:lpstr>
      <vt:lpstr>JAN.26</vt:lpstr>
      <vt:lpstr>FEB 26</vt:lpstr>
      <vt:lpstr>FEB.26</vt:lpstr>
      <vt:lpstr>March 26</vt:lpstr>
      <vt:lpstr>MAR.26</vt:lpstr>
      <vt:lpstr>'APR-25'!Print_Area</vt:lpstr>
      <vt:lpstr>'APR-25 WORKING'!Print_Area</vt:lpstr>
      <vt:lpstr>'AUG 25'!Print_Area</vt:lpstr>
      <vt:lpstr>'DEC 25'!Print_Area</vt:lpstr>
      <vt:lpstr>'FEB 26'!Print_Area</vt:lpstr>
      <vt:lpstr>'JAN 26'!Print_Area</vt:lpstr>
      <vt:lpstr>'July-25'!Print_Area</vt:lpstr>
      <vt:lpstr>'JUne-25'!Print_Area</vt:lpstr>
      <vt:lpstr>'March 26'!Print_Area</vt:lpstr>
      <vt:lpstr>'MAY-25'!Print_Area</vt:lpstr>
      <vt:lpstr>'MAY-25 WORKING'!Print_Area</vt:lpstr>
      <vt:lpstr>'NOV 25'!Print_Area</vt:lpstr>
      <vt:lpstr>'Oct 25'!Print_Area</vt:lpstr>
      <vt:lpstr>'oct old2 '!Print_Area</vt:lpstr>
      <vt:lpstr>oct17old!Print_Area</vt:lpstr>
      <vt:lpstr>'Sept 25'!Print_Area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Ramzan</dc:creator>
  <cp:lastModifiedBy>RMHAC5</cp:lastModifiedBy>
  <cp:lastPrinted>2025-11-15T06:02:00Z</cp:lastPrinted>
  <dcterms:created xsi:type="dcterms:W3CDTF">2017-09-30T09:53:36Z</dcterms:created>
  <dcterms:modified xsi:type="dcterms:W3CDTF">2026-05-27T08:33:36Z</dcterms:modified>
</cp:coreProperties>
</file>